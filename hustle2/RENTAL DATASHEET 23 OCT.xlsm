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LLG\hustle\hustle2\"/>
    </mc:Choice>
  </mc:AlternateContent>
  <xr:revisionPtr revIDLastSave="0" documentId="13_ncr:1_{0BDC4382-D7B2-4575-9461-88C5D0A2DEE3}" xr6:coauthVersionLast="47" xr6:coauthVersionMax="47" xr10:uidLastSave="{00000000-0000-0000-0000-000000000000}"/>
  <bookViews>
    <workbookView xWindow="-120" yWindow="-120" windowWidth="29040" windowHeight="16440" tabRatio="938" activeTab="7" xr2:uid="{00000000-000D-0000-FFFF-FFFF00000000}"/>
  </bookViews>
  <sheets>
    <sheet name="todays_rent_data" sheetId="1" r:id="rId1"/>
    <sheet name="TODAYS_EXPENDITURE" sheetId="3" r:id="rId2"/>
    <sheet name="TODAYS_RENT_MISC" sheetId="33" r:id="rId3"/>
    <sheet name="MASTER_EXECUTIVE_SUMMARY" sheetId="32" r:id="rId4"/>
    <sheet name="DATABASE_EXPENDITURE" sheetId="29" r:id="rId5"/>
    <sheet name="DATABASE_RENT_MISC" sheetId="34" r:id="rId6"/>
    <sheet name="PURCHASE SHEET" sheetId="28" r:id="rId7"/>
    <sheet name="DATABASE_PURCHASE" sheetId="27" r:id="rId8"/>
    <sheet name="MISCELLANEOUS" sheetId="30" r:id="rId9"/>
    <sheet name="RENT PERSONS MISCELLANEOUS" sheetId="31" r:id="rId10"/>
    <sheet name="RANJAN" sheetId="20" r:id="rId11"/>
    <sheet name="MUJIB" sheetId="5" r:id="rId12"/>
    <sheet name="NEHAL" sheetId="17" r:id="rId13"/>
    <sheet name="PERVAZ" sheetId="6" r:id="rId14"/>
    <sheet name="AZHAR" sheetId="7" r:id="rId15"/>
    <sheet name="HYDER" sheetId="8" r:id="rId16"/>
    <sheet name="MOIN" sheetId="10" r:id="rId17"/>
    <sheet name="RAFAT" sheetId="9" r:id="rId18"/>
    <sheet name="ANAS" sheetId="11" r:id="rId19"/>
    <sheet name="AZIM" sheetId="12" r:id="rId20"/>
    <sheet name="SONU" sheetId="13" r:id="rId21"/>
    <sheet name="DUBEY JI" sheetId="14" r:id="rId22"/>
    <sheet name="KAMAL" sheetId="15" r:id="rId23"/>
    <sheet name="EJAZ" sheetId="16" r:id="rId24"/>
    <sheet name="ANUJ" sheetId="18" r:id="rId25"/>
    <sheet name="ATIQUE" sheetId="19" r:id="rId26"/>
    <sheet name="MANISH" sheetId="21" r:id="rId27"/>
    <sheet name="SUNNY" sheetId="22" r:id="rId28"/>
    <sheet name="NOOR MD." sheetId="23" r:id="rId29"/>
  </sheets>
  <functionGroups builtInGroupCount="19"/>
  <definedNames>
    <definedName name="_xlnm._FilterDatabase" localSheetId="4" hidden="1">DATABASE_EXPENDITURE!$A$1:$G$1</definedName>
    <definedName name="_xlnm._FilterDatabase" localSheetId="1" hidden="1">TODAYS_EXPENDITURE!$A$1:$L$1</definedName>
    <definedName name="_xlnm._FilterDatabase" localSheetId="0" hidden="1">todays_rent_data!$B$1:$N$1</definedName>
  </definedNames>
  <calcPr calcId="191029"/>
</workbook>
</file>

<file path=xl/calcChain.xml><?xml version="1.0" encoding="utf-8"?>
<calcChain xmlns="http://schemas.openxmlformats.org/spreadsheetml/2006/main">
  <c r="K6" i="27" l="1"/>
  <c r="K5" i="27"/>
  <c r="K4" i="27"/>
  <c r="K3" i="27"/>
  <c r="H113" i="27"/>
  <c r="H97" i="27"/>
  <c r="H86" i="27"/>
  <c r="AR35" i="3"/>
  <c r="AO35" i="3"/>
  <c r="AJ35" i="3"/>
  <c r="AF35" i="3"/>
  <c r="AB35" i="3"/>
  <c r="X35" i="3"/>
  <c r="T35" i="3"/>
  <c r="P35" i="3"/>
  <c r="L35" i="3"/>
  <c r="H35" i="3"/>
  <c r="B35" i="3"/>
  <c r="O6" i="1"/>
  <c r="N6" i="1"/>
  <c r="M6" i="1"/>
  <c r="J54" i="34"/>
  <c r="D54" i="34"/>
  <c r="J22" i="33"/>
  <c r="D22" i="33"/>
  <c r="D34" i="1"/>
  <c r="D29" i="1"/>
  <c r="D24" i="1"/>
  <c r="D12" i="1"/>
  <c r="J33" i="34"/>
  <c r="D33" i="34"/>
  <c r="AR98" i="29"/>
  <c r="AO98" i="29"/>
  <c r="AJ98" i="29"/>
  <c r="AF98" i="29"/>
  <c r="AB98" i="29"/>
  <c r="X98" i="29"/>
  <c r="T98" i="29"/>
  <c r="P98" i="29"/>
  <c r="L98" i="29"/>
  <c r="H98" i="29"/>
  <c r="B98" i="29"/>
  <c r="AR64" i="29"/>
  <c r="AO64" i="29"/>
  <c r="AJ64" i="29"/>
  <c r="AF64" i="29"/>
  <c r="AB64" i="29"/>
  <c r="X64" i="29"/>
  <c r="T64" i="29"/>
  <c r="P64" i="29"/>
  <c r="L64" i="29"/>
  <c r="H64" i="29"/>
  <c r="B64" i="29"/>
  <c r="AR33" i="29"/>
  <c r="AO33" i="29"/>
  <c r="AJ33" i="29"/>
  <c r="AF33" i="29"/>
  <c r="AB33" i="29"/>
  <c r="X33" i="29"/>
  <c r="T33" i="29"/>
  <c r="P33" i="29"/>
  <c r="L33" i="29"/>
  <c r="H33" i="29"/>
  <c r="B33" i="29"/>
  <c r="L55" i="31"/>
  <c r="L32" i="31"/>
  <c r="D35" i="1" l="1"/>
  <c r="E46" i="32"/>
  <c r="E45" i="32"/>
  <c r="E44" i="32"/>
  <c r="E43" i="32"/>
  <c r="E42" i="32"/>
  <c r="E41" i="32"/>
  <c r="F37" i="32"/>
  <c r="D37" i="32"/>
  <c r="E37" i="32" s="1"/>
  <c r="H37" i="32" s="1"/>
  <c r="C37" i="32"/>
  <c r="G36" i="32"/>
  <c r="F36" i="32"/>
  <c r="E36" i="32"/>
  <c r="G35" i="32"/>
  <c r="F35" i="32"/>
  <c r="E35" i="32"/>
  <c r="G34" i="32"/>
  <c r="F34" i="32"/>
  <c r="E34" i="32"/>
  <c r="G33" i="32"/>
  <c r="F33" i="32"/>
  <c r="E33" i="32"/>
  <c r="G32" i="32"/>
  <c r="F32" i="32"/>
  <c r="E32" i="32"/>
  <c r="G31" i="32"/>
  <c r="F31" i="32"/>
  <c r="E31" i="32"/>
  <c r="G30" i="32"/>
  <c r="F30" i="32"/>
  <c r="E30" i="32"/>
  <c r="K25" i="32"/>
  <c r="G25" i="32"/>
  <c r="F25" i="32"/>
  <c r="E25" i="32"/>
  <c r="D25" i="32"/>
  <c r="C25" i="32"/>
  <c r="K24" i="32"/>
  <c r="J6" i="32" s="1"/>
  <c r="G24" i="32"/>
  <c r="F24" i="32"/>
  <c r="E24" i="32"/>
  <c r="D24" i="32"/>
  <c r="C24" i="32"/>
  <c r="M23" i="32"/>
  <c r="L23" i="32"/>
  <c r="J23" i="32"/>
  <c r="I23" i="32"/>
  <c r="H23" i="32"/>
  <c r="M22" i="32"/>
  <c r="J22" i="32"/>
  <c r="H22" i="32"/>
  <c r="I22" i="32" s="1"/>
  <c r="M21" i="32"/>
  <c r="J21" i="32"/>
  <c r="H21" i="32"/>
  <c r="L21" i="32" s="1"/>
  <c r="M20" i="32"/>
  <c r="J20" i="32"/>
  <c r="H20" i="32"/>
  <c r="L20" i="32" s="1"/>
  <c r="M19" i="32"/>
  <c r="J19" i="32"/>
  <c r="H19" i="32"/>
  <c r="L19" i="32" s="1"/>
  <c r="M18" i="32"/>
  <c r="J18" i="32"/>
  <c r="H18" i="32"/>
  <c r="I18" i="32" s="1"/>
  <c r="M17" i="32"/>
  <c r="J17" i="32"/>
  <c r="H17" i="32"/>
  <c r="L17" i="32" s="1"/>
  <c r="M16" i="32"/>
  <c r="J16" i="32"/>
  <c r="H16" i="32"/>
  <c r="M15" i="32"/>
  <c r="J15" i="32"/>
  <c r="H15" i="32"/>
  <c r="L15" i="32" s="1"/>
  <c r="H14" i="32"/>
  <c r="L14" i="32" s="1"/>
  <c r="H13" i="32"/>
  <c r="H12" i="32"/>
  <c r="I12" i="32" s="1"/>
  <c r="B6" i="32"/>
  <c r="I20" i="32" l="1"/>
  <c r="I21" i="32"/>
  <c r="I15" i="32"/>
  <c r="I17" i="32"/>
  <c r="G37" i="32"/>
  <c r="L16" i="32"/>
  <c r="L13" i="32"/>
  <c r="M12" i="32"/>
  <c r="J12" i="32"/>
  <c r="L18" i="32"/>
  <c r="H24" i="32"/>
  <c r="D6" i="32" s="1"/>
  <c r="I19" i="32"/>
  <c r="H25" i="32"/>
  <c r="I16" i="32"/>
  <c r="L22" i="32"/>
  <c r="I14" i="32"/>
  <c r="I13" i="32"/>
  <c r="L24" i="32" l="1"/>
  <c r="J13" i="32"/>
  <c r="J25" i="32" s="1"/>
  <c r="M13" i="32"/>
  <c r="M14" i="32"/>
  <c r="J14" i="32"/>
  <c r="I25" i="32"/>
  <c r="I24" i="32"/>
  <c r="E2" i="5"/>
  <c r="L6" i="32" l="1"/>
  <c r="M24" i="32"/>
  <c r="F6" i="32"/>
  <c r="J24" i="32"/>
  <c r="H6" i="32" s="1"/>
  <c r="G3" i="12"/>
  <c r="H3" i="13" l="1"/>
  <c r="H2" i="20" l="1"/>
  <c r="H3" i="20"/>
  <c r="G3" i="15"/>
  <c r="E3" i="15"/>
  <c r="E3" i="14"/>
  <c r="G3" i="14"/>
  <c r="E3" i="11"/>
  <c r="G3" i="23"/>
  <c r="E3" i="23"/>
  <c r="G2" i="23"/>
  <c r="E2" i="23"/>
  <c r="H2" i="23" s="1"/>
  <c r="G2" i="22"/>
  <c r="E2" i="22"/>
  <c r="H2" i="22" s="1"/>
  <c r="G2" i="21"/>
  <c r="E2" i="21"/>
  <c r="H2" i="21" s="1"/>
  <c r="G2" i="20"/>
  <c r="G2" i="19"/>
  <c r="E2" i="19"/>
  <c r="H2" i="19" s="1"/>
  <c r="G2" i="18"/>
  <c r="E2" i="18"/>
  <c r="H2" i="18" s="1"/>
  <c r="G2" i="17"/>
  <c r="E2" i="17"/>
  <c r="H2" i="17" s="1"/>
  <c r="G2" i="16"/>
  <c r="E2" i="16"/>
  <c r="H2" i="16" s="1"/>
  <c r="G2" i="15"/>
  <c r="E2" i="15"/>
  <c r="G2" i="14"/>
  <c r="E2" i="14"/>
  <c r="H2" i="14" s="1"/>
  <c r="G2" i="13"/>
  <c r="E2" i="13"/>
  <c r="H2" i="13" s="1"/>
  <c r="G2" i="12"/>
  <c r="E2" i="12"/>
  <c r="H2" i="12" s="1"/>
  <c r="G2" i="11"/>
  <c r="E2" i="11"/>
  <c r="H2" i="11" s="1"/>
  <c r="G2" i="10"/>
  <c r="G2" i="9"/>
  <c r="E2" i="9"/>
  <c r="H2" i="9" s="1"/>
  <c r="G2" i="8"/>
  <c r="E2" i="8"/>
  <c r="H2" i="8" s="1"/>
  <c r="G2" i="7"/>
  <c r="E2" i="7"/>
  <c r="H2" i="7" s="1"/>
  <c r="G2" i="6"/>
  <c r="E2" i="6"/>
  <c r="H2" i="6" s="1"/>
  <c r="G2" i="5"/>
</calcChain>
</file>

<file path=xl/sharedStrings.xml><?xml version="1.0" encoding="utf-8"?>
<sst xmlns="http://schemas.openxmlformats.org/spreadsheetml/2006/main" count="1958" uniqueCount="511">
  <si>
    <t>Tenant Name</t>
  </si>
  <si>
    <t>Property / Location</t>
  </si>
  <si>
    <t>Rent Amount</t>
  </si>
  <si>
    <t>Rented Unit / Place</t>
  </si>
  <si>
    <t>Group</t>
  </si>
  <si>
    <t>Duration (Months)</t>
  </si>
  <si>
    <t>Subscription End Date</t>
  </si>
  <si>
    <t>ANAS 1</t>
  </si>
  <si>
    <t>URLP</t>
  </si>
  <si>
    <t>SHED1 / HALL1</t>
  </si>
  <si>
    <t>GRP 1</t>
  </si>
  <si>
    <t>NOOR MD.</t>
  </si>
  <si>
    <t>PPL</t>
  </si>
  <si>
    <t>BUILD / GR FLR</t>
  </si>
  <si>
    <t>AZIM</t>
  </si>
  <si>
    <t>SHED 3 / HALL 2</t>
  </si>
  <si>
    <t>ANAS 5</t>
  </si>
  <si>
    <t>SHED 3 / HALL 4</t>
  </si>
  <si>
    <t>SONU</t>
  </si>
  <si>
    <t>SHED 2 /  HALL 4</t>
  </si>
  <si>
    <t>ANAS 4</t>
  </si>
  <si>
    <t xml:space="preserve">BUILD / </t>
  </si>
  <si>
    <t>DUBEY JI</t>
  </si>
  <si>
    <t>BUILD / 1ST FLOOR</t>
  </si>
  <si>
    <t>ANAS 2</t>
  </si>
  <si>
    <t>KAMAL</t>
  </si>
  <si>
    <t>SHED 3 / HALL 3</t>
  </si>
  <si>
    <t>ANAS 3</t>
  </si>
  <si>
    <t>SHED 3 / HALL 5</t>
  </si>
  <si>
    <t>NEHAL 2</t>
  </si>
  <si>
    <t>BUILD / 2ND FLR / HALL 1</t>
  </si>
  <si>
    <t>GRP 2</t>
  </si>
  <si>
    <t>NEHAL 3</t>
  </si>
  <si>
    <t>SHED 1 / HALL 1</t>
  </si>
  <si>
    <t>EJAZ</t>
  </si>
  <si>
    <t>BUILD / GR FLR / HALL 1</t>
  </si>
  <si>
    <t>ANUJ</t>
  </si>
  <si>
    <t>BUILD / 1ST FLR / HALL 1</t>
  </si>
  <si>
    <t>RANJAN 2</t>
  </si>
  <si>
    <t>BUILD / 1ST FLR / HALL 3</t>
  </si>
  <si>
    <t>NEHAL 5</t>
  </si>
  <si>
    <t>SHED 2 /  HALL 3</t>
  </si>
  <si>
    <t>ATIQUE</t>
  </si>
  <si>
    <t>SHED 1 / HALL 2</t>
  </si>
  <si>
    <t xml:space="preserve"> </t>
  </si>
  <si>
    <t>NEHAL</t>
  </si>
  <si>
    <t>SHED 3 / HALL 1</t>
  </si>
  <si>
    <t>MANISH</t>
  </si>
  <si>
    <t>SHED2 / HALL 1</t>
  </si>
  <si>
    <t>SUNNY</t>
  </si>
  <si>
    <t>SHED 3 / HALL 6</t>
  </si>
  <si>
    <t>NEHAL 4</t>
  </si>
  <si>
    <t>SHED 2 /  HALL 2</t>
  </si>
  <si>
    <t>MOIN</t>
  </si>
  <si>
    <t>SHED 2 /  HALL 1</t>
  </si>
  <si>
    <t>GRP 3</t>
  </si>
  <si>
    <t>HYDER</t>
  </si>
  <si>
    <t>RAFAT</t>
  </si>
  <si>
    <t>BARI</t>
  </si>
  <si>
    <t>GR FLR</t>
  </si>
  <si>
    <t>MOIN 2</t>
  </si>
  <si>
    <t>BUILD / 1ST FLR</t>
  </si>
  <si>
    <t>RANJAN</t>
  </si>
  <si>
    <t>BUILD / 1ST FLR / HALL 2</t>
  </si>
  <si>
    <t>GRP 4</t>
  </si>
  <si>
    <t>MUJIB</t>
  </si>
  <si>
    <t>PERVAZ</t>
  </si>
  <si>
    <t>SHED 4 / HALL 1</t>
  </si>
  <si>
    <t>AZHAR</t>
  </si>
  <si>
    <t>Grand Total</t>
  </si>
  <si>
    <t>DATE</t>
  </si>
  <si>
    <t>TIME</t>
  </si>
  <si>
    <t>NAME</t>
  </si>
  <si>
    <t>AMOUNT</t>
  </si>
  <si>
    <t>GROUP</t>
  </si>
  <si>
    <t>DUE</t>
  </si>
  <si>
    <t>SALARIES</t>
  </si>
  <si>
    <t>CESC / RESD</t>
  </si>
  <si>
    <t>DIGRUM / URP</t>
  </si>
  <si>
    <t>ANIMAL FEED</t>
  </si>
  <si>
    <t>MEDICAL</t>
  </si>
  <si>
    <t>REPAIR</t>
  </si>
  <si>
    <t>RELIGION</t>
  </si>
  <si>
    <t>NAIM</t>
  </si>
  <si>
    <t>M/P</t>
  </si>
  <si>
    <t>SHAMIMA</t>
  </si>
  <si>
    <t>SAM / DR</t>
  </si>
  <si>
    <t>SHED / MISTRI</t>
  </si>
  <si>
    <t>ZD</t>
  </si>
  <si>
    <t>NIZAM</t>
  </si>
  <si>
    <t xml:space="preserve"> GATE</t>
  </si>
  <si>
    <t>NAUSHAD ALAM</t>
  </si>
  <si>
    <t>KANIZ</t>
  </si>
  <si>
    <t>ZOE</t>
  </si>
  <si>
    <t>SAM/TEST</t>
  </si>
  <si>
    <t xml:space="preserve">TIN </t>
  </si>
  <si>
    <t>SD</t>
  </si>
  <si>
    <t>SHAFIQUE</t>
  </si>
  <si>
    <t>SK BHALLU</t>
  </si>
  <si>
    <t>SULTANA</t>
  </si>
  <si>
    <t>ZARA</t>
  </si>
  <si>
    <t>SAM /  MED</t>
  </si>
  <si>
    <t>KD</t>
  </si>
  <si>
    <t>SULTAN</t>
  </si>
  <si>
    <t>MASJID</t>
  </si>
  <si>
    <t>AT</t>
  </si>
  <si>
    <t>NAZIR</t>
  </si>
  <si>
    <t xml:space="preserve"> BARI</t>
  </si>
  <si>
    <t>JAVED</t>
  </si>
  <si>
    <t>PETROL / KAMAL</t>
  </si>
  <si>
    <t>ZYED</t>
  </si>
  <si>
    <t>PETROL / NIZAM</t>
  </si>
  <si>
    <t>OTHERS</t>
  </si>
  <si>
    <t>ISHRAQUE</t>
  </si>
  <si>
    <t>MERAB</t>
  </si>
  <si>
    <t xml:space="preserve"> MASJID</t>
  </si>
  <si>
    <t>ENAYATULLA</t>
  </si>
  <si>
    <t>RASHEED</t>
  </si>
  <si>
    <t>MUNNA</t>
  </si>
  <si>
    <t>RAFIQUE</t>
  </si>
  <si>
    <t xml:space="preserve">SURAJ </t>
  </si>
  <si>
    <t>SECURITY</t>
  </si>
  <si>
    <t>SAM</t>
  </si>
  <si>
    <t>RESD</t>
  </si>
  <si>
    <t>SAM 2</t>
  </si>
  <si>
    <t>ZOE/ZARA</t>
  </si>
  <si>
    <t>EC</t>
  </si>
  <si>
    <t>NARAYAN</t>
  </si>
  <si>
    <t>BAWA</t>
  </si>
  <si>
    <t>RATE</t>
  </si>
  <si>
    <t>TRSP</t>
  </si>
  <si>
    <t>ATTA</t>
  </si>
  <si>
    <t>GROUP 1</t>
  </si>
  <si>
    <t>ALOO</t>
  </si>
  <si>
    <t>PIYAAZ</t>
  </si>
  <si>
    <t>ADRAK</t>
  </si>
  <si>
    <t>LAHSUN</t>
  </si>
  <si>
    <t xml:space="preserve">GROUP 2 </t>
  </si>
  <si>
    <t>LIME</t>
  </si>
  <si>
    <t>CARROT</t>
  </si>
  <si>
    <t>GREEN CHILLI</t>
  </si>
  <si>
    <t>MULI</t>
  </si>
  <si>
    <t>KHEERA</t>
  </si>
  <si>
    <t>BEET</t>
  </si>
  <si>
    <t>CORRIANDER</t>
  </si>
  <si>
    <t>CAPCICUM</t>
  </si>
  <si>
    <t>GROUP 3</t>
  </si>
  <si>
    <t>BEEF BONELESS</t>
  </si>
  <si>
    <t xml:space="preserve">BEEF </t>
  </si>
  <si>
    <t>MUTTON BONELESS</t>
  </si>
  <si>
    <t>MUTTON</t>
  </si>
  <si>
    <t>FISH</t>
  </si>
  <si>
    <t>GROUP 4</t>
  </si>
  <si>
    <t>MAIDA</t>
  </si>
  <si>
    <t>SUJI</t>
  </si>
  <si>
    <t>RICE DAILY</t>
  </si>
  <si>
    <t>RICE BASMATI</t>
  </si>
  <si>
    <t>GROUP 5</t>
  </si>
  <si>
    <t xml:space="preserve"> CHANA DAAL</t>
  </si>
  <si>
    <t>MASOOR DAAL</t>
  </si>
  <si>
    <t>MOONG DAAL</t>
  </si>
  <si>
    <t>ADHAD DAAL</t>
  </si>
  <si>
    <t>MAAS DAAL</t>
  </si>
  <si>
    <t>GROUP 6</t>
  </si>
  <si>
    <t>DHANYA</t>
  </si>
  <si>
    <t>ZEERA</t>
  </si>
  <si>
    <t>GOLKI</t>
  </si>
  <si>
    <t>HALDI</t>
  </si>
  <si>
    <t>MIRCHA</t>
  </si>
  <si>
    <t>SALT</t>
  </si>
  <si>
    <t>GROUP 7</t>
  </si>
  <si>
    <t>FRUITS</t>
  </si>
  <si>
    <t>GROUP 8</t>
  </si>
  <si>
    <t>REFINE OIL</t>
  </si>
  <si>
    <t>MUSTARD OIL</t>
  </si>
  <si>
    <t>GROUP 9</t>
  </si>
  <si>
    <t>EGG</t>
  </si>
  <si>
    <t>MILK</t>
  </si>
  <si>
    <t>BUTTER</t>
  </si>
  <si>
    <t>GHEE</t>
  </si>
  <si>
    <t>FOR THE MONTH</t>
  </si>
  <si>
    <t>PAID AMOUNT</t>
  </si>
  <si>
    <t>12PM</t>
  </si>
  <si>
    <t>JULY</t>
  </si>
  <si>
    <t>ANAS</t>
  </si>
  <si>
    <t>PAID</t>
  </si>
  <si>
    <t>BECHALI</t>
  </si>
  <si>
    <t>ADINUL</t>
  </si>
  <si>
    <t>APPLE</t>
  </si>
  <si>
    <t>POMEGRANATE</t>
  </si>
  <si>
    <t>GUAVA</t>
  </si>
  <si>
    <t>9PC</t>
  </si>
  <si>
    <t>BANANA</t>
  </si>
  <si>
    <t>12PC</t>
  </si>
  <si>
    <t>GROUP 10</t>
  </si>
  <si>
    <t>DATES/KALMI</t>
  </si>
  <si>
    <t>ALMOND</t>
  </si>
  <si>
    <t>KAJU</t>
  </si>
  <si>
    <t>OTHER EXPENSE</t>
  </si>
  <si>
    <t>GROUP 11</t>
  </si>
  <si>
    <t>PEN</t>
  </si>
  <si>
    <t>LOCATION</t>
  </si>
  <si>
    <t>SHED</t>
  </si>
  <si>
    <t>TOTAL AMOUNT</t>
  </si>
  <si>
    <t>TOTAL PAID</t>
  </si>
  <si>
    <t>GROUP DUE</t>
  </si>
  <si>
    <t>LAST PAID</t>
  </si>
  <si>
    <t>GROUP / FOR</t>
  </si>
  <si>
    <t>ITEM NAME</t>
  </si>
  <si>
    <t>QTY (KG)</t>
  </si>
  <si>
    <t>QTY (PCS)</t>
  </si>
  <si>
    <t>BEEF</t>
  </si>
  <si>
    <t>CHANA DAAL</t>
  </si>
  <si>
    <t>CHICKEN BONELESS</t>
  </si>
  <si>
    <t>CHICKEN</t>
  </si>
  <si>
    <t>SELECT DATE:</t>
  </si>
  <si>
    <t>TYPE</t>
  </si>
  <si>
    <t>PARVEZ</t>
  </si>
  <si>
    <t>AKHTAR</t>
  </si>
  <si>
    <t>SHAHNAWAZ/108033</t>
  </si>
  <si>
    <t>LABOUR/URP</t>
  </si>
  <si>
    <t>WEEKLY</t>
  </si>
  <si>
    <t>JULY_2026</t>
  </si>
  <si>
    <t>CURRENT MONTH</t>
  </si>
  <si>
    <t>INDIVIDUAL PAID</t>
  </si>
  <si>
    <t>AUGUST</t>
  </si>
  <si>
    <t>AVAILABLE BALANCE</t>
  </si>
  <si>
    <t>DUE AMOUNT</t>
  </si>
  <si>
    <t>TOTAL</t>
  </si>
  <si>
    <t>TOTAL RENT COLLECTED</t>
  </si>
  <si>
    <t>FUEL/GAS</t>
  </si>
  <si>
    <t>CESC+RAJA+OTHERS</t>
  </si>
  <si>
    <t>2PM</t>
  </si>
  <si>
    <t>3:30PM</t>
  </si>
  <si>
    <t>BOTTLES</t>
  </si>
  <si>
    <t>SABBIR/PANDUA</t>
  </si>
  <si>
    <t>TYRE REPAIR</t>
  </si>
  <si>
    <t>8:45PM</t>
  </si>
  <si>
    <t>TOTAL PURCHASES</t>
  </si>
  <si>
    <t>8PM</t>
  </si>
  <si>
    <t>2:30PM</t>
  </si>
  <si>
    <t>8:00PM</t>
  </si>
  <si>
    <t>HAKIM SAHEB</t>
  </si>
  <si>
    <t>LADDU+VEGGIE JOGDIYA</t>
  </si>
  <si>
    <t>VEGGIE JOGDIYA</t>
  </si>
  <si>
    <t>ADV</t>
  </si>
  <si>
    <t>TSP/BUTADINE/REHAN/PENCIL/RUBBER/MURI/BADAM</t>
  </si>
  <si>
    <t>MAULANA TALHA</t>
  </si>
  <si>
    <t>SEPTEMBER</t>
  </si>
  <si>
    <t>WEEK 1</t>
  </si>
  <si>
    <t>WEEK 2</t>
  </si>
  <si>
    <t>WEEK 3</t>
  </si>
  <si>
    <t>WEEK 4</t>
  </si>
  <si>
    <t>10:00PM</t>
  </si>
  <si>
    <t>9:00PM</t>
  </si>
  <si>
    <t>SHAHNAWAZ</t>
  </si>
  <si>
    <t>MEHRAB/OLD HISAAB CLEARED</t>
  </si>
  <si>
    <t>ALOO/SHABBIR</t>
  </si>
  <si>
    <t>8:30pm</t>
  </si>
  <si>
    <t>9:30PM</t>
  </si>
  <si>
    <t>ESI</t>
  </si>
  <si>
    <t>MEHRAB/DAAB/VEG/BIR</t>
  </si>
  <si>
    <t>3.30PM</t>
  </si>
  <si>
    <t>8.30PM</t>
  </si>
  <si>
    <t>8.00PM</t>
  </si>
  <si>
    <t>BLOOD TEST SULTAN</t>
  </si>
  <si>
    <t>ZAHID SHIPUR</t>
  </si>
  <si>
    <t>9.30PM</t>
  </si>
  <si>
    <t>WEEK 5</t>
  </si>
  <si>
    <t>AUGUST_2026</t>
  </si>
  <si>
    <t>-</t>
  </si>
  <si>
    <t>7.45PM</t>
  </si>
  <si>
    <t>12.30PM</t>
  </si>
  <si>
    <t>PAID STATUS</t>
  </si>
  <si>
    <t>TOMATO</t>
  </si>
  <si>
    <t>BADHA GOBI</t>
  </si>
  <si>
    <t>BANGON</t>
  </si>
  <si>
    <t>BARBATI</t>
  </si>
  <si>
    <t>CHIMMI</t>
  </si>
  <si>
    <t>DATTA</t>
  </si>
  <si>
    <t>FOOL GOBI</t>
  </si>
  <si>
    <t>POTOL</t>
  </si>
  <si>
    <t>SIM</t>
  </si>
  <si>
    <t>VINDI</t>
  </si>
  <si>
    <t>ZINGHI</t>
  </si>
  <si>
    <t>SUGAR</t>
  </si>
  <si>
    <t>DALCHINI</t>
  </si>
  <si>
    <t>ELIACHI</t>
  </si>
  <si>
    <t>LONG</t>
  </si>
  <si>
    <t>GRAPES</t>
  </si>
  <si>
    <t>MANGO</t>
  </si>
  <si>
    <t>MUSUMBI</t>
  </si>
  <si>
    <t>ORANGE</t>
  </si>
  <si>
    <t>PINEAPPLE</t>
  </si>
  <si>
    <t>WATER MELON</t>
  </si>
  <si>
    <t>BADAM</t>
  </si>
  <si>
    <t>KISMIS</t>
  </si>
  <si>
    <t>BETTEL</t>
  </si>
  <si>
    <t>COAL</t>
  </si>
  <si>
    <t>DUB</t>
  </si>
  <si>
    <t>HONEY</t>
  </si>
  <si>
    <t>PAAN</t>
  </si>
  <si>
    <t>TEA</t>
  </si>
  <si>
    <t>GROUP 2</t>
  </si>
  <si>
    <t>PAID TO</t>
  </si>
  <si>
    <t>DESCRIPTION</t>
  </si>
  <si>
    <t>3:00PM</t>
  </si>
  <si>
    <t>CHOKHAR</t>
  </si>
  <si>
    <t>DAB</t>
  </si>
  <si>
    <t>KUDDUS</t>
  </si>
  <si>
    <t>MEHRAB</t>
  </si>
  <si>
    <t xml:space="preserve">ANAR BREAD GLASS BADNA </t>
  </si>
  <si>
    <t>ISHRAQ</t>
  </si>
  <si>
    <t>12pm</t>
  </si>
  <si>
    <t>5PM</t>
  </si>
  <si>
    <t>INCOMING</t>
  </si>
  <si>
    <t>OUTGOING</t>
  </si>
  <si>
    <t>RECEIVE FROM</t>
  </si>
  <si>
    <t>APR/MAY/JUN</t>
  </si>
  <si>
    <t>CLEAR UPTO JUNE</t>
  </si>
  <si>
    <t>RECEIVED</t>
  </si>
  <si>
    <t>GRAND TOTAL</t>
  </si>
  <si>
    <t>STATUS</t>
  </si>
  <si>
    <t>8.30pm</t>
  </si>
  <si>
    <t>5.00PM</t>
  </si>
  <si>
    <t>LAST PAYMENT DATE</t>
  </si>
  <si>
    <t>1:00PM</t>
  </si>
  <si>
    <t>2:00PM</t>
  </si>
  <si>
    <t>7:00PM</t>
  </si>
  <si>
    <t>GRP 1 Total</t>
  </si>
  <si>
    <t>GRP 2 Total</t>
  </si>
  <si>
    <t>GRP 3 Total</t>
  </si>
  <si>
    <t>GRP 4 Total</t>
  </si>
  <si>
    <t>PASHA</t>
  </si>
  <si>
    <t>HAKIM SAHEB (TAJ)</t>
  </si>
  <si>
    <t>ANAR/BREAD</t>
  </si>
  <si>
    <t>ANAR/GLASS</t>
  </si>
  <si>
    <t>KUDUS DEPARTMENT REPAIR</t>
  </si>
  <si>
    <t>HISAAB CLEAR</t>
  </si>
  <si>
    <t>TAN REPAIR</t>
  </si>
  <si>
    <t>DAAB</t>
  </si>
  <si>
    <t>MUNNA /BASHA</t>
  </si>
  <si>
    <t>GATE REPAIR</t>
  </si>
  <si>
    <t>FISH AND EGG</t>
  </si>
  <si>
    <t>BATHROOM REPAIR</t>
  </si>
  <si>
    <t>TIN ALBESTER SHIFTING</t>
  </si>
  <si>
    <t>BOOK TO DEOBAND</t>
  </si>
  <si>
    <t>PETROL / MEHRAB</t>
  </si>
  <si>
    <t>TAN CESC</t>
  </si>
  <si>
    <t>HAMZA</t>
  </si>
  <si>
    <t>FSSAI LICENCSE</t>
  </si>
  <si>
    <t>FINANCIAL SUMMARY &amp; EXECUTIVE CASH FLOW POSITION</t>
  </si>
  <si>
    <t>TOTAL INFLOW</t>
  </si>
  <si>
    <t>SUPPLY EXPENSES</t>
  </si>
  <si>
    <t>DISBURSED SALARIES</t>
  </si>
  <si>
    <t>MISC AMOUNT PAID</t>
  </si>
  <si>
    <t>OUTGOING MISC</t>
  </si>
  <si>
    <t>PENDING PAYABLES</t>
  </si>
  <si>
    <t>NET LIQUIDITY</t>
  </si>
  <si>
    <t>INDIVIDUAL DUE</t>
  </si>
  <si>
    <t>CESC / URP</t>
  </si>
  <si>
    <t>EXECUTIVE FINANCIAL POSITION &amp; MONTHLY CASH FLOW MASTER DASHBOARD</t>
  </si>
  <si>
    <t>Consolidated Monthly Inflow, Expenditure Breakdown, Retained Cash Savings &amp; Departmental Excess Spend Analytics</t>
  </si>
  <si>
    <t>CUMULATIVE INFLOW</t>
  </si>
  <si>
    <t>Gross Rental Revenue Collected</t>
  </si>
  <si>
    <t>CUMULATIVE EXPENDITURE</t>
  </si>
  <si>
    <t>Purchases, Salaries &amp; OpEx</t>
  </si>
  <si>
    <t>CUMULATIVE MONEY SAVED</t>
  </si>
  <si>
    <t>Net Operational Retained Surplus</t>
  </si>
  <si>
    <t>AVERAGE SAVINGS RATE</t>
  </si>
  <si>
    <t>Retained Cash / Gross Inflow</t>
  </si>
  <si>
    <t>PENDING LIABILITIES</t>
  </si>
  <si>
    <t>Unpaid Salaries &amp; Supplier Dues</t>
  </si>
  <si>
    <t>NET LIQUIDITY POSITION</t>
  </si>
  <si>
    <t>Available Balance Less Total Dues</t>
  </si>
  <si>
    <t>MONTHLY CASH FLOW &amp; REVENUE ALLOCATION SUMMARY</t>
  </si>
  <si>
    <t>MONTH / PERIOD</t>
  </si>
  <si>
    <t>RENT COLLECTED
(INFLOW)</t>
  </si>
  <si>
    <t>PURCHASES
(SUPPLIES)</t>
  </si>
  <si>
    <t>SALARIES PAID
(DISBURSED)</t>
  </si>
  <si>
    <t>SIDE EXP PAID
(CESC, LAB, ETC)</t>
  </si>
  <si>
    <t>MISC PAID
(OUTGOING)</t>
  </si>
  <si>
    <t>TOTAL EXPENDITURE
(OUTFLOW)</t>
  </si>
  <si>
    <t>NET MONEY SAVED
(BALANCE)</t>
  </si>
  <si>
    <t>SAVINGS RATE
(%)</t>
  </si>
  <si>
    <t>PENDING DUES
(LIABILITIES)</t>
  </si>
  <si>
    <t>MOM VARIANCE
(EXCESS SPEND)</t>
  </si>
  <si>
    <t>EXECUTIVE STATUS
(HEALTH)</t>
  </si>
  <si>
    <t>YTD TOTALS</t>
  </si>
  <si>
    <t>MONTHLY AVERAGE (ACTIVE)</t>
  </si>
  <si>
    <t>BENCHMARK RUN-RATE</t>
  </si>
  <si>
    <t>EXECUTIVE ANALYTICS 1: DEPARTMENTAL EXPENDITURE BREAKDOWN &amp; EXCESS SPEND ANOMALIES</t>
  </si>
  <si>
    <t>EXPENDITURE CATEGORY</t>
  </si>
  <si>
    <t>JULY 2026
(ACTUAL)</t>
  </si>
  <si>
    <t>AUGUST 2026
(ACTUAL)</t>
  </si>
  <si>
    <t>MOM CHANGE
(VARIANCE)</t>
  </si>
  <si>
    <t>% CHANGE
(GROWTH)</t>
  </si>
  <si>
    <t>SHARE OF TOTAL
(AUG %)</t>
  </si>
  <si>
    <t>BUDGET IMPACT
(CATEGORY STATUS)</t>
  </si>
  <si>
    <t>EXECUTIVE AUDIT FINDING &amp; ACTIONABLE INSIGHT</t>
  </si>
  <si>
    <t>STAFF SALARIES &amp; PAYROLL</t>
  </si>
  <si>
    <t>Controlled</t>
  </si>
  <si>
    <t>Payroll decreased by ₹31k (saving). 3 unpaid dues of ₹33.5k pending settlement.</t>
  </si>
  <si>
    <t>CESC ELECTRICITY BILLS</t>
  </si>
  <si>
    <t>Stable</t>
  </si>
  <si>
    <t>Major utility cost stable at ~₹200k. Slight reduction of ₹10.6k (-5.0%) in August.</t>
  </si>
  <si>
    <t>LABOUR &amp; MAINTENANCE</t>
  </si>
  <si>
    <t>Ground labour spend reduced by ₹11.5k (-8.5%). Fully paid with zero pending dues.</t>
  </si>
  <si>
    <t>DIGRUM &amp; HAULAGE</t>
  </si>
  <si>
    <t>Haulage expenses reduced by ₹15k (-25.0%). Steady operation.</t>
  </si>
  <si>
    <t>ANIMAL FEED &amp; FUEL</t>
  </si>
  <si>
    <t>Slight Increase</t>
  </si>
  <si>
    <t>Routine feed/fuel fluctuation (+₹2.5k). Minor impact on cash flow (&lt;1.5% of OpEx).</t>
  </si>
  <si>
    <t>MEDICAL &amp; REPAIRS</t>
  </si>
  <si>
    <t>⚠️ EXCESS SPIKE</t>
  </si>
  <si>
    <t>CRITICAL EXCESS SPEND: Jumped +₹45,900 (+183.6%) driven by Kuddus (₹24.3k) &amp; Hakim (₹10k).</t>
  </si>
  <si>
    <t>SUPPLY PURCHASES (STORE)</t>
  </si>
  <si>
    <t>🟢 MASSIVE SAVINGS</t>
  </si>
  <si>
    <t>EXCELLENT PROCUREMENT CONTROL: Slashed by ₹106,342 (-93.1%) enabling ₹109.8k net cash surplus!</t>
  </si>
  <si>
    <t>TOTAL CONSOLIDATED OUTFLOW</t>
  </si>
  <si>
    <t>Net spending dropped by ₹128,682 (-15.2%), converting a ₹17.8k July deficit into a ₹109.8k August surplus.</t>
  </si>
  <si>
    <t>EXECUTIVE ANALYTICS 2: MONEY SAVED, CASH RETENTION &amp; OPERATIONAL EFFICIENCY</t>
  </si>
  <si>
    <t>FINANCIAL METRIC</t>
  </si>
  <si>
    <t>DELTA / SWING
(IMPROVEMENT)</t>
  </si>
  <si>
    <t>TARGET / BENCHMARK</t>
  </si>
  <si>
    <t>EXECUTIVE ASSESSMENT &amp; VALUE DELIVERED</t>
  </si>
  <si>
    <t>Net Cash Saved / Retained</t>
  </si>
  <si>
    <t>Target: ≥ ₹80,000 / mo</t>
  </si>
  <si>
    <t>MASSIVE POSITIVE SWING (+₹127,682). Business transitioned from capital drain to strong monthly cash generation.</t>
  </si>
  <si>
    <t>Savings Retention Rate %</t>
  </si>
  <si>
    <t>Target: ≥ 10.0% of Inflow</t>
  </si>
  <si>
    <t>Exceeded target by 3.27 percentage points in August, retaining 13.3% of total rental collections.</t>
  </si>
  <si>
    <t>Retained Cash per ₹1,000 Collected</t>
  </si>
  <si>
    <t>Target: ₹100 per ₹1,000</t>
  </si>
  <si>
    <t>For every ₹1,000 in rent received, ₹133 was converted into available net liquidity in August (vs -₹21 in July).</t>
  </si>
  <si>
    <t>Supply Procurement Savings</t>
  </si>
  <si>
    <t>Target: ≤ ₹25,000 / mo</t>
  </si>
  <si>
    <t>Procurement costs slashed by ₹106,342. Eliminating bulk supply waste directly created 96.8% of August's retained profit.</t>
  </si>
  <si>
    <t>Operating Cost to Revenue Ratio</t>
  </si>
  <si>
    <t>Target: ≤ 90.0% of Revenue</t>
  </si>
  <si>
    <t>Operating efficiency improved dramatically from 102.1% (loss) to 86.7% (profitable operating window).</t>
  </si>
  <si>
    <t>Total Outstanding Liabilities (Dues)</t>
  </si>
  <si>
    <t>Limit: ≤ ₹40,000 / mo</t>
  </si>
  <si>
    <t>Dues grew by ₹11,200 (₹33.5k unpaid salaries). Retained cash of ₹109.8k covers 100% of liabilities with ₹75.3k safety buffer.</t>
  </si>
  <si>
    <t>EXECUTIVE ACTION PLAN &amp; SUMMARY TAKEAWAYS</t>
  </si>
  <si>
    <t>1. REVENUE STABILITY</t>
  </si>
  <si>
    <t>Gross monthly rental collections are rock-solid at ~₹828,000 - ₹829,000 with strong tenant compliance across Ranjan, Mujib, Nehal, Pervaz, Azhar, Hyder, Moin, Rafat.</t>
  </si>
  <si>
    <t>2. EXCESS SPEND ALERT</t>
  </si>
  <si>
    <t>Medical &amp; Machine Repairs requires strict cap management: August incurred an unbudgeted surge of ₹45,900 (+183.6%), primarily from Kuddus (₹24,350) and Hakim Saheb (₹10,000). Pre-approval required for repairs &gt; ₹5,000.</t>
  </si>
  <si>
    <t>3. CAPITAL PRESERVATION</t>
  </si>
  <si>
    <t>August proved that limiting supply store purchases (reduced from ₹114,242 to ₹7,900) immediately unlocks over ₹100,000/month in net retained cash savings.</t>
  </si>
  <si>
    <t>4. LIABILITY SETTLEMENT</t>
  </si>
  <si>
    <t>Current outstanding liabilities total ₹34,500 against available cash of ₹109,870. Immediate clearance of ₹33,500 unpaid payroll is recommended while preserving a ₹75,370 liquid buffer.</t>
  </si>
  <si>
    <t>CYCLE REPAIR</t>
  </si>
  <si>
    <t>WRITING PAD</t>
  </si>
  <si>
    <t>ANAR</t>
  </si>
  <si>
    <t>BADRILALA</t>
  </si>
  <si>
    <t>MASALA</t>
  </si>
  <si>
    <t>SHADAF</t>
  </si>
  <si>
    <t>MEAT</t>
  </si>
  <si>
    <t>SHAMBHOO</t>
  </si>
  <si>
    <t>SHAKIL</t>
  </si>
  <si>
    <t>SUFI SAHEB</t>
  </si>
  <si>
    <t>OFFICE</t>
  </si>
  <si>
    <t>GAS</t>
  </si>
  <si>
    <t>MUFTI MOHSMMED</t>
  </si>
  <si>
    <t>SWEETS</t>
  </si>
  <si>
    <t>RESIDENCE</t>
  </si>
  <si>
    <t>BLOOD TEST</t>
  </si>
  <si>
    <t>RAES/MUNI</t>
  </si>
  <si>
    <t>RECHARGE</t>
  </si>
  <si>
    <t>ALOO/PIYAZ/KADDU/GOBI/MEAT</t>
  </si>
  <si>
    <t>MEAT/ANAR</t>
  </si>
  <si>
    <t>PETROL/RAES</t>
  </si>
  <si>
    <t>SEPTEMBER_2026</t>
  </si>
  <si>
    <t>RAIS</t>
  </si>
  <si>
    <t>OCTOBER</t>
  </si>
  <si>
    <t>ABDUL AZIZ</t>
  </si>
  <si>
    <t>ALMIRAH</t>
  </si>
  <si>
    <t>BROOM AND MEDICINE</t>
  </si>
  <si>
    <t>ATTA FOAM DATES</t>
  </si>
  <si>
    <t>ZARA/METRO</t>
  </si>
  <si>
    <t>METRO</t>
  </si>
  <si>
    <t>ZAHOOR</t>
  </si>
  <si>
    <t>ZAKAT</t>
  </si>
  <si>
    <t>MU/TALHA</t>
  </si>
  <si>
    <t xml:space="preserve">BOOK </t>
  </si>
  <si>
    <t>CLUB</t>
  </si>
  <si>
    <t>HISAB CLEAR</t>
  </si>
  <si>
    <t>KADIR BHAI</t>
  </si>
  <si>
    <t>CESC</t>
  </si>
  <si>
    <t>KYLU</t>
  </si>
  <si>
    <t>SOFAWALA</t>
  </si>
  <si>
    <t>INDU BABU</t>
  </si>
  <si>
    <t>IDLI</t>
  </si>
  <si>
    <t xml:space="preserve">SULTAN </t>
  </si>
  <si>
    <t>TAWA</t>
  </si>
  <si>
    <t>TAN TISSUE SWEEPER</t>
  </si>
  <si>
    <t>TAN REPAIR SUNNY DEPARTMENT</t>
  </si>
  <si>
    <t>SHABBIR/PANDUA</t>
  </si>
  <si>
    <t>TREATMENT</t>
  </si>
  <si>
    <t>RENT PERSONS MISCELLANEOUS  —  OCTOBER_2026</t>
  </si>
  <si>
    <t>BOOK</t>
  </si>
  <si>
    <t>DATABASE  —  RENT PERSONS MISCELLANEOUS</t>
  </si>
  <si>
    <t>OCTOBER_2026</t>
  </si>
  <si>
    <t>HIK</t>
  </si>
  <si>
    <t>MAJOR EXPENSES BREAKDOWN - TOTAL DISBURSED (PAID ONLY)</t>
  </si>
  <si>
    <t>DIGRUM/URP</t>
  </si>
  <si>
    <t>DISBURSED</t>
  </si>
  <si>
    <t>ALL OPEX</t>
  </si>
  <si>
    <t>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</si>
</sst>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\ mmm\ yyyy"/>
    <numFmt numFmtId="165" formatCode="dd\-mmm\-yyyy"/>
    <numFmt numFmtId="166" formatCode="0.0%"/>
    <numFmt numFmtId="167" formatCode="\+#,##0;\-#,##0;\-"/>
    <numFmt numFmtId="168" formatCode="\₹#,##0.00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rgb="FFFFFFFF"/>
      <name val="Segoe UI"/>
      <family val="2"/>
    </font>
    <font>
      <sz val="10"/>
      <color rgb="FF000000"/>
      <name val="Segoe UI"/>
      <family val="2"/>
    </font>
    <font>
      <b/>
      <sz val="11"/>
      <color rgb="FFFFFFFF"/>
      <name val="Segoe UI"/>
      <family val="2"/>
    </font>
    <font>
      <b/>
      <sz val="10"/>
      <color rgb="FFFFFFFF"/>
      <name val="Calibri"/>
      <family val="2"/>
      <scheme val="minor"/>
    </font>
    <font>
      <b/>
      <sz val="8"/>
      <color rgb="FF64748B"/>
      <name val="Calibri"/>
      <family val="2"/>
      <scheme val="minor"/>
    </font>
    <font>
      <b/>
      <sz val="16"/>
      <color rgb="FFFFFFFF"/>
      <name val="Calibri"/>
      <family val="2"/>
      <scheme val="minor"/>
    </font>
    <font>
      <sz val="9.5"/>
      <color theme="1"/>
      <name val="Segoe UI"/>
      <family val="2"/>
    </font>
    <font>
      <b/>
      <sz val="13.5"/>
      <color rgb="FFFFFFFF"/>
      <name val="Segoe UI"/>
      <family val="2"/>
    </font>
    <font>
      <sz val="9.5"/>
      <color rgb="FFE1D5CB"/>
      <name val="Segoe UI"/>
      <family val="2"/>
    </font>
    <font>
      <b/>
      <sz val="8.5"/>
      <color rgb="FFFFFFFF"/>
      <name val="Segoe UI"/>
      <family val="2"/>
    </font>
    <font>
      <b/>
      <sz val="9.5"/>
      <color theme="1"/>
      <name val="Segoe UI"/>
      <family val="2"/>
    </font>
    <font>
      <b/>
      <sz val="14"/>
      <color theme="1"/>
      <name val="Segoe UI"/>
      <family val="2"/>
    </font>
    <font>
      <i/>
      <sz val="7.5"/>
      <color rgb="FF8B7464"/>
      <name val="Segoe UI"/>
      <family val="2"/>
    </font>
    <font>
      <b/>
      <sz val="9.5"/>
      <color rgb="FFCB1A1A"/>
      <name val="Segoe UI"/>
      <family val="2"/>
    </font>
    <font>
      <b/>
      <sz val="9.5"/>
      <color rgb="FF245715"/>
      <name val="Segoe UI"/>
      <family val="2"/>
    </font>
    <font>
      <b/>
      <i/>
      <sz val="9.5"/>
      <color theme="1"/>
      <name val="Segoe UI"/>
      <family val="2"/>
    </font>
    <font>
      <i/>
      <sz val="9.5"/>
      <color theme="1"/>
      <name val="Segoe UI"/>
      <family val="2"/>
    </font>
    <font>
      <b/>
      <sz val="10.5"/>
      <color rgb="FFFFFFFF"/>
      <name val="Segoe UI"/>
      <family val="2"/>
    </font>
    <font>
      <b/>
      <sz val="9.5"/>
      <color rgb="FFC80000"/>
      <name val="Segoe UI"/>
      <family val="2"/>
    </font>
    <font>
      <b/>
      <sz val="12"/>
      <color rgb="FFC0000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3"/>
      <color rgb="FFFFFFFF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102C57"/>
      <name val="Calibri"/>
      <family val="2"/>
      <scheme val="minor"/>
    </font>
    <font>
      <b/>
      <sz val="11.5"/>
      <color rgb="FFFFFFFF"/>
      <name val="Segoe UI"/>
      <family val="2"/>
    </font>
    <font>
      <b/>
      <sz val="11"/>
      <color theme="1"/>
      <name val="Segoe UI"/>
      <family val="2"/>
    </font>
    <font>
      <sz val="10"/>
      <color theme="1"/>
      <name val="Segoe UI"/>
      <family val="2"/>
    </font>
    <font>
      <b/>
      <sz val="10.5"/>
      <color theme="1"/>
      <name val="Segoe UI"/>
      <family val="2"/>
    </font>
  </fonts>
  <fills count="5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2981B9"/>
        <bgColor indexed="64"/>
      </patternFill>
    </fill>
    <fill>
      <patternFill patternType="solid">
        <fgColor rgb="FF3498DB"/>
        <bgColor indexed="64"/>
      </patternFill>
    </fill>
    <fill>
      <patternFill patternType="solid">
        <fgColor rgb="FFB8CCE4"/>
        <bgColor rgb="FFB8CCE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E293B"/>
        <bgColor indexed="64"/>
      </patternFill>
    </fill>
    <fill>
      <patternFill patternType="solid">
        <fgColor rgb="FF1E2533"/>
        <bgColor indexed="64"/>
      </patternFill>
    </fill>
    <fill>
      <patternFill patternType="solid">
        <fgColor rgb="FF004080"/>
        <bgColor indexed="64"/>
      </patternFill>
    </fill>
    <fill>
      <patternFill patternType="solid">
        <fgColor rgb="FF1E2933"/>
        <bgColor indexed="64"/>
      </patternFill>
    </fill>
    <fill>
      <patternFill patternType="solid">
        <fgColor rgb="FF2980B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E7D32"/>
        <bgColor indexed="64"/>
      </patternFill>
    </fill>
    <fill>
      <patternFill patternType="solid">
        <fgColor rgb="FF1565C0"/>
        <bgColor indexed="64"/>
      </patternFill>
    </fill>
    <fill>
      <patternFill patternType="solid">
        <fgColor rgb="FFC62828"/>
        <bgColor indexed="64"/>
      </patternFill>
    </fill>
    <fill>
      <patternFill patternType="solid">
        <fgColor rgb="FF2D3B47"/>
        <bgColor indexed="64"/>
      </patternFill>
    </fill>
    <fill>
      <patternFill patternType="solid">
        <fgColor rgb="FF1A6A9B"/>
        <bgColor indexed="64"/>
      </patternFill>
    </fill>
    <fill>
      <patternFill patternType="solid">
        <fgColor rgb="FFF9F5F1"/>
        <bgColor indexed="64"/>
      </patternFill>
    </fill>
    <fill>
      <patternFill patternType="solid">
        <fgColor rgb="FF347E1E"/>
        <bgColor indexed="64"/>
      </patternFill>
    </fill>
    <fill>
      <patternFill patternType="solid">
        <fgColor rgb="FFD47800"/>
        <bgColor indexed="64"/>
      </patternFill>
    </fill>
    <fill>
      <patternFill patternType="solid">
        <fgColor rgb="FFB82424"/>
        <bgColor indexed="64"/>
      </patternFill>
    </fill>
    <fill>
      <patternFill patternType="solid">
        <fgColor rgb="FF245715"/>
        <bgColor indexed="64"/>
      </patternFill>
    </fill>
    <fill>
      <patternFill patternType="solid">
        <fgColor rgb="FFFCFAF8"/>
        <bgColor indexed="64"/>
      </patternFill>
    </fill>
    <fill>
      <patternFill patternType="solid">
        <fgColor rgb="FFF0E8E2"/>
        <bgColor indexed="64"/>
      </patternFill>
    </fill>
    <fill>
      <patternFill patternType="solid">
        <fgColor rgb="FFFFE6F0"/>
        <bgColor indexed="64"/>
      </patternFill>
    </fill>
    <fill>
      <patternFill patternType="solid">
        <fgColor rgb="FFE6F9E6"/>
        <bgColor indexed="64"/>
      </patternFill>
    </fill>
    <fill>
      <patternFill patternType="solid">
        <fgColor rgb="FF2A1B0D"/>
        <bgColor indexed="64"/>
      </patternFill>
    </fill>
    <fill>
      <patternFill patternType="solid">
        <fgColor rgb="FF3D2D1F"/>
        <bgColor indexed="64"/>
      </patternFill>
    </fill>
    <fill>
      <patternFill patternType="solid">
        <fgColor rgb="FF31561E"/>
        <bgColor indexed="64"/>
      </patternFill>
    </fill>
    <fill>
      <patternFill patternType="solid">
        <fgColor rgb="FF18187B"/>
        <bgColor indexed="64"/>
      </patternFill>
    </fill>
    <fill>
      <patternFill patternType="solid">
        <fgColor rgb="FF8A5F2C"/>
        <bgColor indexed="64"/>
      </patternFill>
    </fill>
    <fill>
      <patternFill patternType="solid">
        <fgColor rgb="FFFFF9F5"/>
        <bgColor indexed="64"/>
      </patternFill>
    </fill>
    <fill>
      <patternFill patternType="solid">
        <fgColor rgb="FFFFF3EB"/>
        <bgColor indexed="64"/>
      </patternFill>
    </fill>
    <fill>
      <patternFill patternType="solid">
        <fgColor rgb="FF503E2C"/>
        <bgColor indexed="64"/>
      </patternFill>
    </fill>
    <fill>
      <patternFill patternType="solid">
        <fgColor rgb="FF2C3E50"/>
        <bgColor indexed="64"/>
      </patternFill>
    </fill>
    <fill>
      <patternFill patternType="solid">
        <fgColor rgb="FFAFCDF2"/>
        <bgColor indexed="64"/>
      </patternFill>
    </fill>
    <fill>
      <patternFill patternType="solid">
        <fgColor rgb="FFBEDAF8"/>
        <bgColor indexed="64"/>
      </patternFill>
    </fill>
    <fill>
      <patternFill patternType="solid">
        <fgColor rgb="FF102C57"/>
        <bgColor indexed="64"/>
      </patternFill>
    </fill>
    <fill>
      <patternFill patternType="solid">
        <fgColor rgb="FFB4E6CD"/>
        <bgColor indexed="64"/>
      </patternFill>
    </fill>
    <fill>
      <patternFill patternType="solid">
        <fgColor rgb="FFA5DCBE"/>
        <bgColor indexed="64"/>
      </patternFill>
    </fill>
    <fill>
      <patternFill patternType="solid">
        <fgColor rgb="FF0A4128"/>
        <bgColor indexed="64"/>
      </patternFill>
    </fill>
    <fill>
      <patternFill patternType="solid">
        <fgColor rgb="FFD7C3F8"/>
        <bgColor indexed="64"/>
      </patternFill>
    </fill>
    <fill>
      <patternFill patternType="solid">
        <fgColor rgb="FFC8AFF0"/>
        <bgColor indexed="64"/>
      </patternFill>
    </fill>
    <fill>
      <patternFill patternType="solid">
        <fgColor rgb="FF371255"/>
        <bgColor indexed="64"/>
      </patternFill>
    </fill>
    <fill>
      <patternFill patternType="solid">
        <fgColor rgb="FFFAC391"/>
        <bgColor indexed="64"/>
      </patternFill>
    </fill>
    <fill>
      <patternFill patternType="solid">
        <fgColor rgb="FFFFD2A5"/>
        <bgColor indexed="64"/>
      </patternFill>
    </fill>
    <fill>
      <patternFill patternType="solid">
        <fgColor rgb="FF6E280F"/>
        <bgColor indexed="64"/>
      </patternFill>
    </fill>
    <fill>
      <patternFill patternType="solid">
        <fgColor rgb="FF141923"/>
        <bgColor indexed="64"/>
      </patternFill>
    </fill>
    <fill>
      <patternFill patternType="solid">
        <fgColor rgb="FF145A3C"/>
        <bgColor indexed="64"/>
      </patternFill>
    </fill>
    <fill>
      <patternFill patternType="solid">
        <fgColor rgb="FFF8FAFC"/>
        <bgColor indexed="64"/>
      </patternFill>
    </fill>
    <fill>
      <patternFill patternType="solid">
        <fgColor rgb="FF1E3A8A"/>
        <bgColor indexed="64"/>
      </patternFill>
    </fill>
    <fill>
      <patternFill patternType="solid">
        <fgColor rgb="FF514137"/>
        <bgColor indexed="64"/>
      </patternFill>
    </fill>
    <fill>
      <patternFill patternType="solid">
        <fgColor rgb="FFF6F4F3"/>
        <bgColor indexed="64"/>
      </patternFill>
    </fill>
    <fill>
      <patternFill patternType="solid">
        <fgColor rgb="FFEBE7E5"/>
        <bgColor indexed="64"/>
      </patternFill>
    </fill>
  </fills>
  <borders count="34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rgb="FFE2E8F0"/>
      </left>
      <right/>
      <top style="hair">
        <color rgb="FFE2E8F0"/>
      </top>
      <bottom/>
      <diagonal/>
    </border>
    <border>
      <left style="hair">
        <color rgb="FFE2E8F0"/>
      </left>
      <right style="hair">
        <color rgb="FFE2E8F0"/>
      </right>
      <top style="hair">
        <color rgb="FFE2E8F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333C47"/>
      </right>
      <top style="thin">
        <color rgb="FF000000"/>
      </top>
      <bottom/>
      <diagonal/>
    </border>
    <border>
      <left/>
      <right style="medium">
        <color rgb="FF333C47"/>
      </right>
      <top/>
      <bottom/>
      <diagonal/>
    </border>
    <border>
      <left style="thin">
        <color rgb="FFE1D5CB"/>
      </left>
      <right style="thin">
        <color rgb="FFE1D5CB"/>
      </right>
      <top style="thin">
        <color rgb="FFE1D5CB"/>
      </top>
      <bottom style="thin">
        <color rgb="FFE1D5CB"/>
      </bottom>
      <diagonal/>
    </border>
    <border>
      <left style="thin">
        <color rgb="FFF0E8E2"/>
      </left>
      <right style="thin">
        <color rgb="FFF0E8E2"/>
      </right>
      <top style="thin">
        <color rgb="FFF0E8E2"/>
      </top>
      <bottom style="thin">
        <color rgb="FFF0E8E2"/>
      </bottom>
      <diagonal/>
    </border>
    <border>
      <left style="thin">
        <color rgb="FFB8A394"/>
      </left>
      <right style="thin">
        <color rgb="FFB8A394"/>
      </right>
      <top style="thin">
        <color rgb="FFB8A394"/>
      </top>
      <bottom style="thin">
        <color rgb="FFB8A394"/>
      </bottom>
      <diagonal/>
    </border>
    <border>
      <left/>
      <right/>
      <top style="thin">
        <color rgb="FFF0E8E2"/>
      </top>
      <bottom/>
      <diagonal/>
    </border>
    <border>
      <left style="thin">
        <color rgb="FFDAE0E9"/>
      </left>
      <right style="thin">
        <color rgb="FFDAE0E9"/>
      </right>
      <top style="thin">
        <color rgb="FFDAE0E9"/>
      </top>
      <bottom style="thin">
        <color rgb="FFDAE0E9"/>
      </bottom>
      <diagonal/>
    </border>
    <border>
      <left style="hair">
        <color rgb="FFDED7D0"/>
      </left>
      <right/>
      <top style="thin">
        <color rgb="FFDED7D0"/>
      </top>
      <bottom/>
      <diagonal/>
    </border>
    <border>
      <left style="hair">
        <color rgb="FFDED7D0"/>
      </left>
      <right/>
      <top style="hair">
        <color rgb="FFDED7D0"/>
      </top>
      <bottom style="hair">
        <color rgb="FFDED7D0"/>
      </bottom>
      <diagonal/>
    </border>
    <border>
      <left style="hair">
        <color rgb="FFDED7D0"/>
      </left>
      <right style="hair">
        <color rgb="FFDED7D0"/>
      </right>
      <top style="hair">
        <color rgb="FFDED7D0"/>
      </top>
      <bottom style="hair">
        <color rgb="FFDED7D0"/>
      </bottom>
      <diagonal/>
    </border>
    <border>
      <left style="hair">
        <color rgb="FFDED7D0"/>
      </left>
      <right style="hair">
        <color rgb="FFDED7D0"/>
      </right>
      <top style="hair">
        <color rgb="FFDED7D0"/>
      </top>
      <bottom/>
      <diagonal/>
    </border>
    <border>
      <left style="hair">
        <color rgb="FFDED7D0"/>
      </left>
      <right style="hair">
        <color rgb="FFDED7D0"/>
      </right>
      <top/>
      <bottom/>
      <diagonal/>
    </border>
    <border>
      <left style="hair">
        <color rgb="FFDED7D0"/>
      </left>
      <right style="hair">
        <color rgb="FFDED7D0"/>
      </right>
      <top/>
      <bottom style="hair">
        <color rgb="FFDED7D0"/>
      </bottom>
      <diagonal/>
    </border>
    <border>
      <left style="hair">
        <color rgb="FFDED7D0"/>
      </left>
      <right style="hair">
        <color rgb="FFDED7D0"/>
      </right>
      <top style="hair">
        <color rgb="FFDED7D0"/>
      </top>
      <bottom style="medium">
        <color rgb="FF000000"/>
      </bottom>
      <diagonal/>
    </border>
    <border>
      <left style="hair">
        <color rgb="FFDED7D0"/>
      </left>
      <right style="hair">
        <color rgb="FFDED7D0"/>
      </right>
      <top style="medium">
        <color rgb="FF000000"/>
      </top>
      <bottom style="medium">
        <color rgb="FF000000"/>
      </bottom>
      <diagonal/>
    </border>
    <border>
      <left style="hair">
        <color rgb="FFDED7D0"/>
      </left>
      <right style="hair">
        <color rgb="FFDED7D0"/>
      </right>
      <top style="medium">
        <color rgb="FF000000"/>
      </top>
      <bottom/>
      <diagonal/>
    </border>
    <border>
      <left/>
      <right/>
      <top style="hair">
        <color rgb="FFDED7D0"/>
      </top>
      <bottom style="double">
        <color indexed="64"/>
      </bottom>
      <diagonal/>
    </border>
    <border>
      <left style="thin">
        <color rgb="FFDED7D0"/>
      </left>
      <right/>
      <top style="thin">
        <color rgb="FFDED7D0"/>
      </top>
      <bottom/>
      <diagonal/>
    </border>
    <border>
      <left/>
      <right style="thin">
        <color rgb="FFDED7D0"/>
      </right>
      <top style="thin">
        <color rgb="FFDED7D0"/>
      </top>
      <bottom/>
      <diagonal/>
    </border>
    <border>
      <left style="hair">
        <color rgb="FFDED7D0"/>
      </left>
      <right/>
      <top style="thin">
        <color rgb="FFDED7D0"/>
      </top>
      <bottom style="double">
        <color indexed="64"/>
      </bottom>
      <diagonal/>
    </border>
    <border>
      <left/>
      <right style="thin">
        <color rgb="FFDED7D0"/>
      </right>
      <top style="thin">
        <color rgb="FFDED7D0"/>
      </top>
      <bottom style="double">
        <color indexed="64"/>
      </bottom>
      <diagonal/>
    </border>
  </borders>
  <cellStyleXfs count="1">
    <xf numFmtId="0" fontId="0" fillId="0" borderId="0"/>
  </cellStyleXfs>
  <cellXfs count="261">
    <xf numFmtId="0" fontId="0" fillId="0" borderId="0" xfId="0"/>
    <xf numFmtId="0" fontId="0" fillId="3" borderId="0" xfId="0" applyFill="1"/>
    <xf numFmtId="14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3" fillId="3" borderId="0" xfId="0" applyFont="1" applyFill="1"/>
    <xf numFmtId="3" fontId="0" fillId="0" borderId="0" xfId="0" applyNumberFormat="1"/>
    <xf numFmtId="0" fontId="5" fillId="0" borderId="0" xfId="0" applyFont="1" applyAlignment="1">
      <alignment horizontal="right"/>
    </xf>
    <xf numFmtId="0" fontId="4" fillId="6" borderId="0" xfId="0" applyFont="1" applyFill="1" applyAlignment="1">
      <alignment horizontal="center"/>
    </xf>
    <xf numFmtId="0" fontId="6" fillId="8" borderId="4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164" fontId="5" fillId="5" borderId="2" xfId="0" applyNumberFormat="1" applyFont="1" applyFill="1" applyBorder="1"/>
    <xf numFmtId="0" fontId="6" fillId="8" borderId="0" xfId="0" applyFont="1" applyFill="1"/>
    <xf numFmtId="165" fontId="0" fillId="0" borderId="0" xfId="0" applyNumberFormat="1"/>
    <xf numFmtId="0" fontId="1" fillId="0" borderId="1" xfId="0" applyFont="1" applyBorder="1"/>
    <xf numFmtId="0" fontId="0" fillId="0" borderId="2" xfId="0" applyBorder="1"/>
    <xf numFmtId="0" fontId="4" fillId="9" borderId="2" xfId="0" applyFont="1" applyFill="1" applyBorder="1" applyAlignment="1">
      <alignment horizontal="center"/>
    </xf>
    <xf numFmtId="0" fontId="4" fillId="10" borderId="2" xfId="0" applyFont="1" applyFill="1" applyBorder="1" applyAlignment="1">
      <alignment horizontal="center"/>
    </xf>
    <xf numFmtId="165" fontId="4" fillId="9" borderId="2" xfId="0" applyNumberFormat="1" applyFont="1" applyFill="1" applyBorder="1" applyAlignment="1">
      <alignment horizontal="center"/>
    </xf>
    <xf numFmtId="165" fontId="0" fillId="0" borderId="2" xfId="0" applyNumberFormat="1" applyBorder="1"/>
    <xf numFmtId="165" fontId="4" fillId="10" borderId="2" xfId="0" applyNumberFormat="1" applyFont="1" applyFill="1" applyBorder="1" applyAlignment="1">
      <alignment horizontal="center"/>
    </xf>
    <xf numFmtId="3" fontId="4" fillId="9" borderId="2" xfId="0" applyNumberFormat="1" applyFont="1" applyFill="1" applyBorder="1" applyAlignment="1">
      <alignment horizontal="center"/>
    </xf>
    <xf numFmtId="3" fontId="0" fillId="0" borderId="2" xfId="0" applyNumberFormat="1" applyBorder="1"/>
    <xf numFmtId="3" fontId="4" fillId="10" borderId="2" xfId="0" applyNumberFormat="1" applyFont="1" applyFill="1" applyBorder="1" applyAlignment="1">
      <alignment horizontal="center"/>
    </xf>
    <xf numFmtId="0" fontId="9" fillId="7" borderId="0" xfId="0" applyFont="1" applyFill="1" applyAlignment="1">
      <alignment horizontal="center"/>
    </xf>
    <xf numFmtId="0" fontId="8" fillId="0" borderId="0" xfId="0" applyFont="1"/>
    <xf numFmtId="0" fontId="0" fillId="0" borderId="7" xfId="0" applyBorder="1"/>
    <xf numFmtId="0" fontId="10" fillId="11" borderId="0" xfId="0" applyFont="1" applyFill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10" fillId="12" borderId="3" xfId="0" applyFont="1" applyFill="1" applyBorder="1" applyAlignment="1">
      <alignment horizontal="center" vertical="center"/>
    </xf>
    <xf numFmtId="0" fontId="10" fillId="12" borderId="11" xfId="0" applyFont="1" applyFill="1" applyBorder="1" applyAlignment="1">
      <alignment horizontal="center" vertical="center"/>
    </xf>
    <xf numFmtId="0" fontId="10" fillId="12" borderId="10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0" fontId="10" fillId="12" borderId="12" xfId="0" applyFont="1" applyFill="1" applyBorder="1" applyAlignment="1">
      <alignment horizontal="center" vertical="center"/>
    </xf>
    <xf numFmtId="0" fontId="4" fillId="13" borderId="0" xfId="0" applyFont="1" applyFill="1"/>
    <xf numFmtId="0" fontId="10" fillId="12" borderId="13" xfId="0" applyFont="1" applyFill="1" applyBorder="1" applyAlignment="1">
      <alignment horizontal="center" vertical="center"/>
    </xf>
    <xf numFmtId="0" fontId="4" fillId="13" borderId="14" xfId="0" applyFont="1" applyFill="1" applyBorder="1"/>
    <xf numFmtId="0" fontId="0" fillId="0" borderId="14" xfId="0" applyBorder="1"/>
    <xf numFmtId="0" fontId="10" fillId="12" borderId="14" xfId="0" applyFont="1" applyFill="1" applyBorder="1" applyAlignment="1">
      <alignment horizontal="center" vertical="center"/>
    </xf>
    <xf numFmtId="3" fontId="0" fillId="0" borderId="14" xfId="0" applyNumberFormat="1" applyBorder="1"/>
    <xf numFmtId="0" fontId="4" fillId="14" borderId="0" xfId="0" applyFont="1" applyFill="1" applyAlignment="1">
      <alignment horizontal="center"/>
    </xf>
    <xf numFmtId="0" fontId="13" fillId="15" borderId="0" xfId="0" applyFont="1" applyFill="1" applyAlignment="1">
      <alignment horizontal="center"/>
    </xf>
    <xf numFmtId="0" fontId="14" fillId="0" borderId="0" xfId="0" applyFont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4" borderId="1" xfId="0" applyFill="1" applyBorder="1"/>
    <xf numFmtId="165" fontId="0" fillId="4" borderId="1" xfId="0" applyNumberFormat="1" applyFill="1" applyBorder="1"/>
    <xf numFmtId="0" fontId="0" fillId="0" borderId="1" xfId="0" applyBorder="1"/>
    <xf numFmtId="3" fontId="15" fillId="17" borderId="1" xfId="0" applyNumberFormat="1" applyFont="1" applyFill="1" applyBorder="1"/>
    <xf numFmtId="3" fontId="15" fillId="18" borderId="1" xfId="0" applyNumberFormat="1" applyFont="1" applyFill="1" applyBorder="1"/>
    <xf numFmtId="3" fontId="15" fillId="19" borderId="1" xfId="0" applyNumberFormat="1" applyFont="1" applyFill="1" applyBorder="1"/>
    <xf numFmtId="0" fontId="16" fillId="0" borderId="0" xfId="0" applyFont="1"/>
    <xf numFmtId="0" fontId="19" fillId="21" borderId="15" xfId="0" applyFont="1" applyFill="1" applyBorder="1" applyAlignment="1">
      <alignment horizontal="center" vertical="center" wrapText="1"/>
    </xf>
    <xf numFmtId="17" fontId="20" fillId="16" borderId="16" xfId="0" applyNumberFormat="1" applyFont="1" applyFill="1" applyBorder="1" applyAlignment="1">
      <alignment horizontal="left"/>
    </xf>
    <xf numFmtId="3" fontId="16" fillId="16" borderId="16" xfId="0" applyNumberFormat="1" applyFont="1" applyFill="1" applyBorder="1"/>
    <xf numFmtId="166" fontId="16" fillId="16" borderId="16" xfId="0" applyNumberFormat="1" applyFont="1" applyFill="1" applyBorder="1"/>
    <xf numFmtId="167" fontId="16" fillId="16" borderId="16" xfId="0" applyNumberFormat="1" applyFont="1" applyFill="1" applyBorder="1"/>
    <xf numFmtId="0" fontId="16" fillId="16" borderId="16" xfId="0" applyFont="1" applyFill="1" applyBorder="1" applyAlignment="1">
      <alignment horizontal="center"/>
    </xf>
    <xf numFmtId="3" fontId="23" fillId="16" borderId="16" xfId="0" applyNumberFormat="1" applyFont="1" applyFill="1" applyBorder="1"/>
    <xf numFmtId="17" fontId="20" fillId="27" borderId="16" xfId="0" applyNumberFormat="1" applyFont="1" applyFill="1" applyBorder="1" applyAlignment="1">
      <alignment horizontal="left"/>
    </xf>
    <xf numFmtId="3" fontId="16" fillId="27" borderId="16" xfId="0" applyNumberFormat="1" applyFont="1" applyFill="1" applyBorder="1"/>
    <xf numFmtId="166" fontId="16" fillId="27" borderId="16" xfId="0" applyNumberFormat="1" applyFont="1" applyFill="1" applyBorder="1"/>
    <xf numFmtId="167" fontId="16" fillId="27" borderId="16" xfId="0" applyNumberFormat="1" applyFont="1" applyFill="1" applyBorder="1"/>
    <xf numFmtId="0" fontId="16" fillId="27" borderId="16" xfId="0" applyFont="1" applyFill="1" applyBorder="1" applyAlignment="1">
      <alignment horizontal="center"/>
    </xf>
    <xf numFmtId="3" fontId="24" fillId="27" borderId="16" xfId="0" applyNumberFormat="1" applyFont="1" applyFill="1" applyBorder="1"/>
    <xf numFmtId="0" fontId="20" fillId="28" borderId="0" xfId="0" applyFont="1" applyFill="1"/>
    <xf numFmtId="3" fontId="20" fillId="28" borderId="0" xfId="0" applyNumberFormat="1" applyFont="1" applyFill="1"/>
    <xf numFmtId="0" fontId="20" fillId="28" borderId="17" xfId="0" applyFont="1" applyFill="1" applyBorder="1"/>
    <xf numFmtId="3" fontId="20" fillId="28" borderId="17" xfId="0" applyNumberFormat="1" applyFont="1" applyFill="1" applyBorder="1"/>
    <xf numFmtId="166" fontId="20" fillId="28" borderId="17" xfId="0" applyNumberFormat="1" applyFont="1" applyFill="1" applyBorder="1"/>
    <xf numFmtId="0" fontId="20" fillId="28" borderId="17" xfId="0" applyFont="1" applyFill="1" applyBorder="1" applyAlignment="1">
      <alignment horizontal="center"/>
    </xf>
    <xf numFmtId="0" fontId="25" fillId="22" borderId="15" xfId="0" applyFont="1" applyFill="1" applyBorder="1"/>
    <xf numFmtId="3" fontId="26" fillId="22" borderId="15" xfId="0" applyNumberFormat="1" applyFont="1" applyFill="1" applyBorder="1"/>
    <xf numFmtId="166" fontId="26" fillId="22" borderId="15" xfId="0" applyNumberFormat="1" applyFont="1" applyFill="1" applyBorder="1"/>
    <xf numFmtId="0" fontId="26" fillId="22" borderId="15" xfId="0" applyFont="1" applyFill="1" applyBorder="1"/>
    <xf numFmtId="0" fontId="26" fillId="22" borderId="15" xfId="0" applyFont="1" applyFill="1" applyBorder="1" applyAlignment="1">
      <alignment horizontal="center"/>
    </xf>
    <xf numFmtId="0" fontId="19" fillId="20" borderId="15" xfId="0" applyFont="1" applyFill="1" applyBorder="1" applyAlignment="1">
      <alignment horizontal="center" vertical="center" wrapText="1"/>
    </xf>
    <xf numFmtId="0" fontId="20" fillId="16" borderId="16" xfId="0" applyFont="1" applyFill="1" applyBorder="1"/>
    <xf numFmtId="0" fontId="20" fillId="27" borderId="16" xfId="0" applyFont="1" applyFill="1" applyBorder="1"/>
    <xf numFmtId="0" fontId="20" fillId="29" borderId="16" xfId="0" applyFont="1" applyFill="1" applyBorder="1"/>
    <xf numFmtId="3" fontId="16" fillId="29" borderId="16" xfId="0" applyNumberFormat="1" applyFont="1" applyFill="1" applyBorder="1"/>
    <xf numFmtId="166" fontId="16" fillId="29" borderId="16" xfId="0" applyNumberFormat="1" applyFont="1" applyFill="1" applyBorder="1"/>
    <xf numFmtId="0" fontId="28" fillId="29" borderId="16" xfId="0" applyFont="1" applyFill="1" applyBorder="1" applyAlignment="1">
      <alignment horizontal="center"/>
    </xf>
    <xf numFmtId="0" fontId="20" fillId="30" borderId="16" xfId="0" applyFont="1" applyFill="1" applyBorder="1"/>
    <xf numFmtId="3" fontId="16" fillId="30" borderId="16" xfId="0" applyNumberFormat="1" applyFont="1" applyFill="1" applyBorder="1"/>
    <xf numFmtId="166" fontId="16" fillId="30" borderId="16" xfId="0" applyNumberFormat="1" applyFont="1" applyFill="1" applyBorder="1"/>
    <xf numFmtId="0" fontId="24" fillId="30" borderId="16" xfId="0" applyFont="1" applyFill="1" applyBorder="1" applyAlignment="1">
      <alignment horizontal="center"/>
    </xf>
    <xf numFmtId="166" fontId="20" fillId="28" borderId="0" xfId="0" applyNumberFormat="1" applyFont="1" applyFill="1"/>
    <xf numFmtId="0" fontId="20" fillId="28" borderId="0" xfId="0" applyFont="1" applyFill="1" applyAlignment="1">
      <alignment horizontal="center"/>
    </xf>
    <xf numFmtId="168" fontId="16" fillId="16" borderId="16" xfId="0" applyNumberFormat="1" applyFont="1" applyFill="1" applyBorder="1"/>
    <xf numFmtId="3" fontId="29" fillId="16" borderId="0" xfId="0" applyNumberFormat="1" applyFont="1" applyFill="1" applyAlignment="1">
      <alignment horizontal="center"/>
    </xf>
    <xf numFmtId="18" fontId="0" fillId="0" borderId="0" xfId="0" applyNumberFormat="1"/>
    <xf numFmtId="20" fontId="0" fillId="0" borderId="0" xfId="0" applyNumberFormat="1"/>
    <xf numFmtId="165" fontId="0" fillId="0" borderId="1" xfId="0" applyNumberFormat="1" applyBorder="1"/>
    <xf numFmtId="165" fontId="30" fillId="2" borderId="0" xfId="0" applyNumberFormat="1" applyFont="1" applyFill="1"/>
    <xf numFmtId="0" fontId="4" fillId="31" borderId="0" xfId="0" applyFont="1" applyFill="1" applyAlignment="1">
      <alignment horizontal="center"/>
    </xf>
    <xf numFmtId="3" fontId="4" fillId="31" borderId="0" xfId="0" applyNumberFormat="1" applyFont="1" applyFill="1" applyAlignment="1">
      <alignment horizontal="center"/>
    </xf>
    <xf numFmtId="0" fontId="4" fillId="31" borderId="0" xfId="0" applyFont="1" applyFill="1"/>
    <xf numFmtId="165" fontId="4" fillId="31" borderId="0" xfId="0" applyNumberFormat="1" applyFont="1" applyFill="1"/>
    <xf numFmtId="0" fontId="4" fillId="31" borderId="14" xfId="0" applyFont="1" applyFill="1" applyBorder="1"/>
    <xf numFmtId="3" fontId="4" fillId="31" borderId="14" xfId="0" applyNumberFormat="1" applyFont="1" applyFill="1" applyBorder="1" applyAlignment="1">
      <alignment horizontal="center"/>
    </xf>
    <xf numFmtId="0" fontId="32" fillId="33" borderId="0" xfId="0" applyFont="1" applyFill="1"/>
    <xf numFmtId="0" fontId="4" fillId="33" borderId="0" xfId="0" applyFont="1" applyFill="1"/>
    <xf numFmtId="0" fontId="0" fillId="32" borderId="0" xfId="0" applyFill="1"/>
    <xf numFmtId="0" fontId="4" fillId="34" borderId="0" xfId="0" applyFont="1" applyFill="1"/>
    <xf numFmtId="0" fontId="4" fillId="35" borderId="0" xfId="0" applyFont="1" applyFill="1" applyAlignment="1">
      <alignment horizontal="center"/>
    </xf>
    <xf numFmtId="0" fontId="0" fillId="36" borderId="0" xfId="0" applyFill="1"/>
    <xf numFmtId="165" fontId="0" fillId="36" borderId="0" xfId="0" applyNumberFormat="1" applyFill="1"/>
    <xf numFmtId="3" fontId="0" fillId="36" borderId="0" xfId="0" applyNumberFormat="1" applyFill="1"/>
    <xf numFmtId="0" fontId="0" fillId="37" borderId="0" xfId="0" applyFill="1"/>
    <xf numFmtId="165" fontId="0" fillId="37" borderId="0" xfId="0" applyNumberFormat="1" applyFill="1"/>
    <xf numFmtId="3" fontId="0" fillId="37" borderId="0" xfId="0" applyNumberFormat="1" applyFill="1"/>
    <xf numFmtId="3" fontId="4" fillId="31" borderId="0" xfId="0" applyNumberFormat="1" applyFont="1" applyFill="1"/>
    <xf numFmtId="0" fontId="4" fillId="32" borderId="0" xfId="0" applyFont="1" applyFill="1"/>
    <xf numFmtId="0" fontId="4" fillId="38" borderId="0" xfId="0" applyFont="1" applyFill="1"/>
    <xf numFmtId="3" fontId="5" fillId="16" borderId="0" xfId="0" applyNumberFormat="1" applyFont="1" applyFill="1" applyAlignment="1">
      <alignment horizontal="center"/>
    </xf>
    <xf numFmtId="15" fontId="0" fillId="36" borderId="0" xfId="0" applyNumberFormat="1" applyFill="1"/>
    <xf numFmtId="0" fontId="4" fillId="39" borderId="0" xfId="0" applyFont="1" applyFill="1"/>
    <xf numFmtId="3" fontId="2" fillId="0" borderId="0" xfId="0" applyNumberFormat="1" applyFont="1"/>
    <xf numFmtId="3" fontId="2" fillId="0" borderId="1" xfId="0" applyNumberFormat="1" applyFont="1" applyBorder="1"/>
    <xf numFmtId="165" fontId="11" fillId="40" borderId="8" xfId="0" applyNumberFormat="1" applyFont="1" applyFill="1" applyBorder="1" applyAlignment="1">
      <alignment horizontal="center" vertical="center"/>
    </xf>
    <xf numFmtId="0" fontId="11" fillId="40" borderId="8" xfId="0" applyFont="1" applyFill="1" applyBorder="1" applyAlignment="1">
      <alignment horizontal="left" vertical="center"/>
    </xf>
    <xf numFmtId="0" fontId="11" fillId="40" borderId="8" xfId="0" applyFont="1" applyFill="1" applyBorder="1" applyAlignment="1">
      <alignment vertical="center"/>
    </xf>
    <xf numFmtId="3" fontId="11" fillId="40" borderId="8" xfId="0" applyNumberFormat="1" applyFont="1" applyFill="1" applyBorder="1" applyAlignment="1">
      <alignment horizontal="right" vertical="center"/>
    </xf>
    <xf numFmtId="0" fontId="11" fillId="40" borderId="8" xfId="0" applyFont="1" applyFill="1" applyBorder="1" applyAlignment="1">
      <alignment horizontal="center" vertical="center"/>
    </xf>
    <xf numFmtId="3" fontId="11" fillId="40" borderId="9" xfId="0" applyNumberFormat="1" applyFont="1" applyFill="1" applyBorder="1" applyAlignment="1">
      <alignment vertical="center"/>
    </xf>
    <xf numFmtId="165" fontId="11" fillId="41" borderId="8" xfId="0" applyNumberFormat="1" applyFont="1" applyFill="1" applyBorder="1" applyAlignment="1">
      <alignment horizontal="center" vertical="center"/>
    </xf>
    <xf numFmtId="0" fontId="11" fillId="41" borderId="8" xfId="0" applyFont="1" applyFill="1" applyBorder="1" applyAlignment="1">
      <alignment horizontal="left" vertical="center"/>
    </xf>
    <xf numFmtId="0" fontId="11" fillId="41" borderId="8" xfId="0" applyFont="1" applyFill="1" applyBorder="1" applyAlignment="1">
      <alignment vertical="center"/>
    </xf>
    <xf numFmtId="3" fontId="11" fillId="41" borderId="8" xfId="0" applyNumberFormat="1" applyFont="1" applyFill="1" applyBorder="1" applyAlignment="1">
      <alignment horizontal="right" vertical="center"/>
    </xf>
    <xf numFmtId="0" fontId="11" fillId="41" borderId="8" xfId="0" applyFont="1" applyFill="1" applyBorder="1" applyAlignment="1">
      <alignment horizontal="center" vertical="center"/>
    </xf>
    <xf numFmtId="3" fontId="11" fillId="41" borderId="9" xfId="0" applyNumberFormat="1" applyFont="1" applyFill="1" applyBorder="1" applyAlignment="1">
      <alignment vertical="center"/>
    </xf>
    <xf numFmtId="165" fontId="10" fillId="42" borderId="8" xfId="0" applyNumberFormat="1" applyFont="1" applyFill="1" applyBorder="1" applyAlignment="1">
      <alignment horizontal="center" vertical="center"/>
    </xf>
    <xf numFmtId="0" fontId="10" fillId="42" borderId="8" xfId="0" applyFont="1" applyFill="1" applyBorder="1" applyAlignment="1">
      <alignment horizontal="left" vertical="center"/>
    </xf>
    <xf numFmtId="0" fontId="10" fillId="42" borderId="8" xfId="0" applyFont="1" applyFill="1" applyBorder="1" applyAlignment="1">
      <alignment vertical="center"/>
    </xf>
    <xf numFmtId="3" fontId="10" fillId="42" borderId="8" xfId="0" applyNumberFormat="1" applyFont="1" applyFill="1" applyBorder="1" applyAlignment="1">
      <alignment horizontal="right" vertical="center"/>
    </xf>
    <xf numFmtId="3" fontId="10" fillId="42" borderId="9" xfId="0" applyNumberFormat="1" applyFont="1" applyFill="1" applyBorder="1" applyAlignment="1">
      <alignment vertical="center"/>
    </xf>
    <xf numFmtId="165" fontId="11" fillId="43" borderId="8" xfId="0" applyNumberFormat="1" applyFont="1" applyFill="1" applyBorder="1" applyAlignment="1">
      <alignment horizontal="center" vertical="center"/>
    </xf>
    <xf numFmtId="0" fontId="11" fillId="43" borderId="8" xfId="0" applyFont="1" applyFill="1" applyBorder="1" applyAlignment="1">
      <alignment horizontal="left" vertical="center"/>
    </xf>
    <xf numFmtId="0" fontId="11" fillId="43" borderId="8" xfId="0" applyFont="1" applyFill="1" applyBorder="1" applyAlignment="1">
      <alignment vertical="center"/>
    </xf>
    <xf numFmtId="3" fontId="11" fillId="43" borderId="8" xfId="0" applyNumberFormat="1" applyFont="1" applyFill="1" applyBorder="1" applyAlignment="1">
      <alignment horizontal="right" vertical="center"/>
    </xf>
    <xf numFmtId="0" fontId="11" fillId="43" borderId="8" xfId="0" applyFont="1" applyFill="1" applyBorder="1" applyAlignment="1">
      <alignment horizontal="center" vertical="center"/>
    </xf>
    <xf numFmtId="3" fontId="11" fillId="43" borderId="9" xfId="0" applyNumberFormat="1" applyFont="1" applyFill="1" applyBorder="1" applyAlignment="1">
      <alignment vertical="center"/>
    </xf>
    <xf numFmtId="165" fontId="11" fillId="44" borderId="8" xfId="0" applyNumberFormat="1" applyFont="1" applyFill="1" applyBorder="1" applyAlignment="1">
      <alignment horizontal="center" vertical="center"/>
    </xf>
    <xf numFmtId="0" fontId="11" fillId="44" borderId="8" xfId="0" applyFont="1" applyFill="1" applyBorder="1" applyAlignment="1">
      <alignment horizontal="left" vertical="center"/>
    </xf>
    <xf numFmtId="0" fontId="11" fillId="44" borderId="8" xfId="0" applyFont="1" applyFill="1" applyBorder="1" applyAlignment="1">
      <alignment vertical="center"/>
    </xf>
    <xf numFmtId="3" fontId="11" fillId="44" borderId="8" xfId="0" applyNumberFormat="1" applyFont="1" applyFill="1" applyBorder="1" applyAlignment="1">
      <alignment horizontal="right" vertical="center"/>
    </xf>
    <xf numFmtId="0" fontId="11" fillId="44" borderId="8" xfId="0" applyFont="1" applyFill="1" applyBorder="1" applyAlignment="1">
      <alignment horizontal="center" vertical="center"/>
    </xf>
    <xf numFmtId="3" fontId="11" fillId="44" borderId="9" xfId="0" applyNumberFormat="1" applyFont="1" applyFill="1" applyBorder="1" applyAlignment="1">
      <alignment vertical="center"/>
    </xf>
    <xf numFmtId="165" fontId="10" fillId="45" borderId="8" xfId="0" applyNumberFormat="1" applyFont="1" applyFill="1" applyBorder="1" applyAlignment="1">
      <alignment horizontal="center" vertical="center"/>
    </xf>
    <xf numFmtId="0" fontId="10" fillId="45" borderId="8" xfId="0" applyFont="1" applyFill="1" applyBorder="1" applyAlignment="1">
      <alignment horizontal="left" vertical="center"/>
    </xf>
    <xf numFmtId="0" fontId="10" fillId="45" borderId="8" xfId="0" applyFont="1" applyFill="1" applyBorder="1" applyAlignment="1">
      <alignment vertical="center"/>
    </xf>
    <xf numFmtId="3" fontId="10" fillId="45" borderId="8" xfId="0" applyNumberFormat="1" applyFont="1" applyFill="1" applyBorder="1" applyAlignment="1">
      <alignment horizontal="right" vertical="center"/>
    </xf>
    <xf numFmtId="0" fontId="10" fillId="45" borderId="8" xfId="0" applyFont="1" applyFill="1" applyBorder="1" applyAlignment="1">
      <alignment horizontal="center" vertical="center"/>
    </xf>
    <xf numFmtId="3" fontId="10" fillId="45" borderId="9" xfId="0" applyNumberFormat="1" applyFont="1" applyFill="1" applyBorder="1" applyAlignment="1">
      <alignment vertical="center"/>
    </xf>
    <xf numFmtId="165" fontId="11" fillId="46" borderId="8" xfId="0" applyNumberFormat="1" applyFont="1" applyFill="1" applyBorder="1" applyAlignment="1">
      <alignment horizontal="center" vertical="center"/>
    </xf>
    <xf numFmtId="0" fontId="11" fillId="46" borderId="8" xfId="0" applyFont="1" applyFill="1" applyBorder="1" applyAlignment="1">
      <alignment horizontal="left" vertical="center"/>
    </xf>
    <xf numFmtId="0" fontId="11" fillId="46" borderId="8" xfId="0" applyFont="1" applyFill="1" applyBorder="1" applyAlignment="1">
      <alignment vertical="center"/>
    </xf>
    <xf numFmtId="3" fontId="11" fillId="46" borderId="8" xfId="0" applyNumberFormat="1" applyFont="1" applyFill="1" applyBorder="1" applyAlignment="1">
      <alignment horizontal="right" vertical="center"/>
    </xf>
    <xf numFmtId="0" fontId="11" fillId="46" borderId="8" xfId="0" applyFont="1" applyFill="1" applyBorder="1" applyAlignment="1">
      <alignment horizontal="center" vertical="center"/>
    </xf>
    <xf numFmtId="3" fontId="11" fillId="46" borderId="9" xfId="0" applyNumberFormat="1" applyFont="1" applyFill="1" applyBorder="1" applyAlignment="1">
      <alignment vertical="center"/>
    </xf>
    <xf numFmtId="165" fontId="11" fillId="47" borderId="8" xfId="0" applyNumberFormat="1" applyFont="1" applyFill="1" applyBorder="1" applyAlignment="1">
      <alignment horizontal="center" vertical="center"/>
    </xf>
    <xf numFmtId="0" fontId="11" fillId="47" borderId="8" xfId="0" applyFont="1" applyFill="1" applyBorder="1" applyAlignment="1">
      <alignment horizontal="left" vertical="center"/>
    </xf>
    <xf numFmtId="0" fontId="11" fillId="47" borderId="8" xfId="0" applyFont="1" applyFill="1" applyBorder="1" applyAlignment="1">
      <alignment vertical="center"/>
    </xf>
    <xf numFmtId="3" fontId="11" fillId="47" borderId="8" xfId="0" applyNumberFormat="1" applyFont="1" applyFill="1" applyBorder="1" applyAlignment="1">
      <alignment horizontal="right" vertical="center"/>
    </xf>
    <xf numFmtId="0" fontId="11" fillId="47" borderId="8" xfId="0" applyFont="1" applyFill="1" applyBorder="1" applyAlignment="1">
      <alignment horizontal="center" vertical="center"/>
    </xf>
    <xf numFmtId="3" fontId="11" fillId="47" borderId="9" xfId="0" applyNumberFormat="1" applyFont="1" applyFill="1" applyBorder="1" applyAlignment="1">
      <alignment vertical="center"/>
    </xf>
    <xf numFmtId="165" fontId="10" fillId="48" borderId="8" xfId="0" applyNumberFormat="1" applyFont="1" applyFill="1" applyBorder="1" applyAlignment="1">
      <alignment horizontal="center" vertical="center"/>
    </xf>
    <xf numFmtId="0" fontId="10" fillId="48" borderId="8" xfId="0" applyFont="1" applyFill="1" applyBorder="1" applyAlignment="1">
      <alignment horizontal="left" vertical="center"/>
    </xf>
    <xf numFmtId="0" fontId="10" fillId="48" borderId="8" xfId="0" applyFont="1" applyFill="1" applyBorder="1" applyAlignment="1">
      <alignment vertical="center"/>
    </xf>
    <xf numFmtId="3" fontId="10" fillId="48" borderId="8" xfId="0" applyNumberFormat="1" applyFont="1" applyFill="1" applyBorder="1" applyAlignment="1">
      <alignment horizontal="right" vertical="center"/>
    </xf>
    <xf numFmtId="0" fontId="10" fillId="48" borderId="8" xfId="0" applyFont="1" applyFill="1" applyBorder="1" applyAlignment="1">
      <alignment horizontal="center" vertical="center"/>
    </xf>
    <xf numFmtId="3" fontId="10" fillId="48" borderId="9" xfId="0" applyNumberFormat="1" applyFont="1" applyFill="1" applyBorder="1" applyAlignment="1">
      <alignment vertical="center"/>
    </xf>
    <xf numFmtId="165" fontId="11" fillId="49" borderId="8" xfId="0" applyNumberFormat="1" applyFont="1" applyFill="1" applyBorder="1" applyAlignment="1">
      <alignment horizontal="center" vertical="center"/>
    </xf>
    <xf numFmtId="0" fontId="11" fillId="49" borderId="8" xfId="0" applyFont="1" applyFill="1" applyBorder="1" applyAlignment="1">
      <alignment horizontal="left" vertical="center"/>
    </xf>
    <xf numFmtId="0" fontId="11" fillId="49" borderId="8" xfId="0" applyFont="1" applyFill="1" applyBorder="1" applyAlignment="1">
      <alignment vertical="center"/>
    </xf>
    <xf numFmtId="3" fontId="11" fillId="49" borderId="8" xfId="0" applyNumberFormat="1" applyFont="1" applyFill="1" applyBorder="1" applyAlignment="1">
      <alignment horizontal="right" vertical="center"/>
    </xf>
    <xf numFmtId="0" fontId="11" fillId="49" borderId="8" xfId="0" applyFont="1" applyFill="1" applyBorder="1" applyAlignment="1">
      <alignment horizontal="center" vertical="center"/>
    </xf>
    <xf numFmtId="3" fontId="11" fillId="49" borderId="9" xfId="0" applyNumberFormat="1" applyFont="1" applyFill="1" applyBorder="1" applyAlignment="1">
      <alignment vertical="center"/>
    </xf>
    <xf numFmtId="165" fontId="11" fillId="50" borderId="8" xfId="0" applyNumberFormat="1" applyFont="1" applyFill="1" applyBorder="1" applyAlignment="1">
      <alignment horizontal="center" vertical="center"/>
    </xf>
    <xf numFmtId="0" fontId="11" fillId="50" borderId="8" xfId="0" applyFont="1" applyFill="1" applyBorder="1" applyAlignment="1">
      <alignment horizontal="left" vertical="center"/>
    </xf>
    <xf numFmtId="0" fontId="11" fillId="50" borderId="8" xfId="0" applyFont="1" applyFill="1" applyBorder="1" applyAlignment="1">
      <alignment vertical="center"/>
    </xf>
    <xf numFmtId="3" fontId="11" fillId="50" borderId="8" xfId="0" applyNumberFormat="1" applyFont="1" applyFill="1" applyBorder="1" applyAlignment="1">
      <alignment horizontal="right" vertical="center"/>
    </xf>
    <xf numFmtId="0" fontId="11" fillId="50" borderId="8" xfId="0" applyFont="1" applyFill="1" applyBorder="1" applyAlignment="1">
      <alignment horizontal="center" vertical="center"/>
    </xf>
    <xf numFmtId="3" fontId="11" fillId="50" borderId="9" xfId="0" applyNumberFormat="1" applyFont="1" applyFill="1" applyBorder="1" applyAlignment="1">
      <alignment vertical="center"/>
    </xf>
    <xf numFmtId="165" fontId="10" fillId="51" borderId="0" xfId="0" applyNumberFormat="1" applyFont="1" applyFill="1" applyAlignment="1">
      <alignment horizontal="center" vertical="center"/>
    </xf>
    <xf numFmtId="0" fontId="10" fillId="51" borderId="0" xfId="0" applyFont="1" applyFill="1" applyAlignment="1">
      <alignment horizontal="left" vertical="center"/>
    </xf>
    <xf numFmtId="0" fontId="10" fillId="51" borderId="0" xfId="0" applyFont="1" applyFill="1" applyAlignment="1">
      <alignment vertical="center"/>
    </xf>
    <xf numFmtId="3" fontId="10" fillId="51" borderId="0" xfId="0" applyNumberFormat="1" applyFont="1" applyFill="1" applyAlignment="1">
      <alignment horizontal="right" vertical="center"/>
    </xf>
    <xf numFmtId="0" fontId="10" fillId="51" borderId="0" xfId="0" applyFont="1" applyFill="1" applyAlignment="1">
      <alignment horizontal="center" vertical="center"/>
    </xf>
    <xf numFmtId="3" fontId="10" fillId="51" borderId="0" xfId="0" applyNumberFormat="1" applyFont="1" applyFill="1" applyAlignment="1">
      <alignment vertical="center"/>
    </xf>
    <xf numFmtId="165" fontId="10" fillId="52" borderId="0" xfId="0" applyNumberFormat="1" applyFont="1" applyFill="1" applyAlignment="1">
      <alignment horizontal="center" vertical="center"/>
    </xf>
    <xf numFmtId="0" fontId="10" fillId="52" borderId="0" xfId="0" applyFont="1" applyFill="1" applyAlignment="1">
      <alignment horizontal="left" vertical="center"/>
    </xf>
    <xf numFmtId="0" fontId="10" fillId="52" borderId="0" xfId="0" applyFont="1" applyFill="1" applyAlignment="1">
      <alignment vertical="center"/>
    </xf>
    <xf numFmtId="3" fontId="10" fillId="52" borderId="0" xfId="0" applyNumberFormat="1" applyFont="1" applyFill="1" applyAlignment="1">
      <alignment horizontal="right" vertical="center"/>
    </xf>
    <xf numFmtId="0" fontId="10" fillId="52" borderId="0" xfId="0" applyFont="1" applyFill="1" applyAlignment="1">
      <alignment horizontal="center" vertical="center"/>
    </xf>
    <xf numFmtId="3" fontId="10" fillId="52" borderId="0" xfId="0" applyNumberFormat="1" applyFont="1" applyFill="1" applyAlignment="1">
      <alignment vertical="center"/>
    </xf>
    <xf numFmtId="0" fontId="13" fillId="14" borderId="0" xfId="0" applyFont="1" applyFill="1" applyAlignment="1">
      <alignment horizontal="center"/>
    </xf>
    <xf numFmtId="0" fontId="33" fillId="15" borderId="0" xfId="0" applyFont="1" applyFill="1" applyAlignment="1">
      <alignment horizontal="center"/>
    </xf>
    <xf numFmtId="0" fontId="33" fillId="53" borderId="0" xfId="0" applyFont="1" applyFill="1" applyAlignment="1">
      <alignment horizontal="center"/>
    </xf>
    <xf numFmtId="3" fontId="34" fillId="16" borderId="19" xfId="0" applyNumberFormat="1" applyFont="1" applyFill="1" applyBorder="1" applyAlignment="1">
      <alignment horizontal="center"/>
    </xf>
    <xf numFmtId="3" fontId="35" fillId="16" borderId="19" xfId="0" applyNumberFormat="1" applyFont="1" applyFill="1" applyBorder="1" applyAlignment="1">
      <alignment horizontal="center"/>
    </xf>
    <xf numFmtId="0" fontId="14" fillId="54" borderId="0" xfId="0" applyFont="1" applyFill="1" applyAlignment="1">
      <alignment horizontal="center"/>
    </xf>
    <xf numFmtId="0" fontId="31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20" fillId="22" borderId="16" xfId="0" applyFont="1" applyFill="1" applyBorder="1" applyAlignment="1">
      <alignment horizontal="left"/>
    </xf>
    <xf numFmtId="0" fontId="16" fillId="16" borderId="16" xfId="0" applyFont="1" applyFill="1" applyBorder="1" applyAlignment="1">
      <alignment horizontal="left"/>
    </xf>
    <xf numFmtId="0" fontId="16" fillId="27" borderId="16" xfId="0" applyFont="1" applyFill="1" applyBorder="1" applyAlignment="1">
      <alignment horizontal="center"/>
    </xf>
    <xf numFmtId="0" fontId="16" fillId="27" borderId="16" xfId="0" applyFont="1" applyFill="1" applyBorder="1" applyAlignment="1">
      <alignment horizontal="left"/>
    </xf>
    <xf numFmtId="0" fontId="16" fillId="16" borderId="16" xfId="0" applyFont="1" applyFill="1" applyBorder="1" applyAlignment="1">
      <alignment horizontal="center"/>
    </xf>
    <xf numFmtId="0" fontId="27" fillId="14" borderId="0" xfId="0" applyFont="1" applyFill="1" applyAlignment="1">
      <alignment horizontal="left" vertical="center"/>
    </xf>
    <xf numFmtId="0" fontId="16" fillId="29" borderId="16" xfId="0" applyFont="1" applyFill="1" applyBorder="1" applyAlignment="1">
      <alignment horizontal="left"/>
    </xf>
    <xf numFmtId="0" fontId="16" fillId="30" borderId="16" xfId="0" applyFont="1" applyFill="1" applyBorder="1" applyAlignment="1">
      <alignment horizontal="left"/>
    </xf>
    <xf numFmtId="0" fontId="20" fillId="28" borderId="18" xfId="0" applyFont="1" applyFill="1" applyBorder="1" applyAlignment="1">
      <alignment horizontal="left"/>
    </xf>
    <xf numFmtId="0" fontId="19" fillId="20" borderId="15" xfId="0" applyFont="1" applyFill="1" applyBorder="1" applyAlignment="1">
      <alignment horizontal="center" vertical="center" wrapText="1"/>
    </xf>
    <xf numFmtId="0" fontId="22" fillId="22" borderId="15" xfId="0" applyFont="1" applyFill="1" applyBorder="1" applyAlignment="1">
      <alignment horizontal="center" vertical="center"/>
    </xf>
    <xf numFmtId="0" fontId="19" fillId="24" borderId="15" xfId="0" applyFont="1" applyFill="1" applyBorder="1" applyAlignment="1">
      <alignment horizontal="center" vertical="center"/>
    </xf>
    <xf numFmtId="166" fontId="21" fillId="16" borderId="15" xfId="0" applyNumberFormat="1" applyFont="1" applyFill="1" applyBorder="1" applyAlignment="1">
      <alignment horizontal="center" vertical="center"/>
    </xf>
    <xf numFmtId="0" fontId="19" fillId="25" borderId="15" xfId="0" applyFont="1" applyFill="1" applyBorder="1" applyAlignment="1">
      <alignment horizontal="center" vertical="center"/>
    </xf>
    <xf numFmtId="3" fontId="21" fillId="16" borderId="15" xfId="0" applyNumberFormat="1" applyFont="1" applyFill="1" applyBorder="1" applyAlignment="1">
      <alignment horizontal="center" vertical="center"/>
    </xf>
    <xf numFmtId="0" fontId="19" fillId="26" borderId="15" xfId="0" applyFont="1" applyFill="1" applyBorder="1" applyAlignment="1">
      <alignment horizontal="center" vertical="center"/>
    </xf>
    <xf numFmtId="0" fontId="12" fillId="14" borderId="0" xfId="0" applyFont="1" applyFill="1" applyAlignment="1">
      <alignment horizontal="left" vertical="center"/>
    </xf>
    <xf numFmtId="0" fontId="17" fillId="14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9" fillId="21" borderId="15" xfId="0" applyFont="1" applyFill="1" applyBorder="1" applyAlignment="1">
      <alignment horizontal="center" vertical="center"/>
    </xf>
    <xf numFmtId="0" fontId="19" fillId="20" borderId="15" xfId="0" applyFont="1" applyFill="1" applyBorder="1" applyAlignment="1">
      <alignment horizontal="center" vertical="center"/>
    </xf>
    <xf numFmtId="0" fontId="19" fillId="23" borderId="15" xfId="0" applyFont="1" applyFill="1" applyBorder="1" applyAlignment="1">
      <alignment horizontal="center" vertical="center"/>
    </xf>
    <xf numFmtId="0" fontId="31" fillId="32" borderId="0" xfId="0" applyFont="1" applyFill="1" applyAlignment="1">
      <alignment horizontal="center"/>
    </xf>
    <xf numFmtId="0" fontId="0" fillId="32" borderId="0" xfId="0" applyFill="1" applyAlignment="1">
      <alignment horizontal="center"/>
    </xf>
    <xf numFmtId="0" fontId="36" fillId="55" borderId="0" xfId="0" applyFont="1" applyFill="1"/>
    <xf numFmtId="0" fontId="10" fillId="56" borderId="0" xfId="0" applyFont="1" applyFill="1" applyAlignment="1">
      <alignment horizontal="center"/>
    </xf>
    <xf numFmtId="164" fontId="16" fillId="0" borderId="23" xfId="0" applyNumberFormat="1" applyFont="1" applyBorder="1"/>
    <xf numFmtId="0" fontId="16" fillId="0" borderId="23" xfId="0" applyFont="1" applyBorder="1"/>
    <xf numFmtId="4" fontId="16" fillId="0" borderId="23" xfId="0" applyNumberFormat="1" applyFont="1" applyBorder="1"/>
    <xf numFmtId="164" fontId="16" fillId="0" borderId="24" xfId="0" applyNumberFormat="1" applyFont="1" applyBorder="1"/>
    <xf numFmtId="0" fontId="16" fillId="0" borderId="24" xfId="0" applyFont="1" applyBorder="1"/>
    <xf numFmtId="4" fontId="16" fillId="0" borderId="24" xfId="0" applyNumberFormat="1" applyFont="1" applyBorder="1"/>
    <xf numFmtId="164" fontId="16" fillId="0" borderId="25" xfId="0" applyNumberFormat="1" applyFont="1" applyBorder="1"/>
    <xf numFmtId="0" fontId="16" fillId="0" borderId="25" xfId="0" applyFont="1" applyBorder="1"/>
    <xf numFmtId="4" fontId="16" fillId="0" borderId="25" xfId="0" applyNumberFormat="1" applyFont="1" applyBorder="1"/>
    <xf numFmtId="164" fontId="16" fillId="0" borderId="22" xfId="0" applyNumberFormat="1" applyFont="1" applyBorder="1"/>
    <xf numFmtId="0" fontId="16" fillId="0" borderId="22" xfId="0" applyFont="1" applyBorder="1"/>
    <xf numFmtId="4" fontId="16" fillId="0" borderId="22" xfId="0" applyNumberFormat="1" applyFont="1" applyBorder="1"/>
    <xf numFmtId="164" fontId="16" fillId="0" borderId="26" xfId="0" applyNumberFormat="1" applyFont="1" applyBorder="1"/>
    <xf numFmtId="0" fontId="16" fillId="0" borderId="26" xfId="0" applyFont="1" applyBorder="1"/>
    <xf numFmtId="4" fontId="16" fillId="0" borderId="26" xfId="0" applyNumberFormat="1" applyFont="1" applyBorder="1"/>
    <xf numFmtId="164" fontId="16" fillId="0" borderId="27" xfId="0" applyNumberFormat="1" applyFont="1" applyBorder="1"/>
    <xf numFmtId="0" fontId="16" fillId="0" borderId="27" xfId="0" applyFont="1" applyBorder="1"/>
    <xf numFmtId="4" fontId="16" fillId="0" borderId="27" xfId="0" applyNumberFormat="1" applyFont="1" applyBorder="1"/>
    <xf numFmtId="164" fontId="16" fillId="0" borderId="28" xfId="0" applyNumberFormat="1" applyFont="1" applyBorder="1"/>
    <xf numFmtId="0" fontId="16" fillId="0" borderId="28" xfId="0" applyFont="1" applyBorder="1"/>
    <xf numFmtId="4" fontId="16" fillId="0" borderId="28" xfId="0" applyNumberFormat="1" applyFont="1" applyBorder="1"/>
    <xf numFmtId="0" fontId="37" fillId="57" borderId="29" xfId="0" applyFont="1" applyFill="1" applyBorder="1"/>
    <xf numFmtId="4" fontId="37" fillId="57" borderId="29" xfId="0" applyNumberFormat="1" applyFont="1" applyFill="1" applyBorder="1"/>
    <xf numFmtId="0" fontId="27" fillId="55" borderId="0" xfId="0" applyFont="1" applyFill="1" applyAlignment="1">
      <alignment horizontal="center"/>
    </xf>
    <xf numFmtId="17" fontId="38" fillId="0" borderId="30" xfId="0" applyNumberFormat="1" applyFont="1" applyBorder="1"/>
    <xf numFmtId="17" fontId="38" fillId="0" borderId="20" xfId="0" applyNumberFormat="1" applyFont="1" applyBorder="1"/>
    <xf numFmtId="0" fontId="16" fillId="0" borderId="21" xfId="0" applyFont="1" applyBorder="1"/>
    <xf numFmtId="4" fontId="38" fillId="0" borderId="31" xfId="0" applyNumberFormat="1" applyFont="1" applyBorder="1"/>
    <xf numFmtId="0" fontId="39" fillId="58" borderId="32" xfId="0" applyFont="1" applyFill="1" applyBorder="1"/>
    <xf numFmtId="4" fontId="39" fillId="58" borderId="33" xfId="0" applyNumberFormat="1" applyFont="1" applyFill="1" applyBorder="1"/>
  </cellXfs>
  <cellStyles count="1">
    <cellStyle name="Normal" xfId="0" builtinId="0"/>
  </cellStyles>
  <dxfs count="8">
    <dxf>
      <numFmt numFmtId="3" formatCode="#,##0"/>
    </dxf>
    <dxf>
      <numFmt numFmtId="165" formatCode="dd\-mmm\-yyyy"/>
    </dxf>
    <dxf>
      <numFmt numFmtId="169" formatCode=";;;"/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87FFA5"/>
      <color rgb="FF3FF8FF"/>
      <color rgb="FFFFF99D"/>
      <color rgb="FFCFCFFF"/>
      <color rgb="FFFF5050"/>
      <color rgb="FF298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29</xdr:row>
      <xdr:rowOff>114300</xdr:rowOff>
    </xdr:from>
    <xdr:to>
      <xdr:col>12</xdr:col>
      <xdr:colOff>895350</xdr:colOff>
      <xdr:row>31</xdr:row>
      <xdr:rowOff>85725</xdr:rowOff>
    </xdr:to>
    <xdr:sp macro="[0]!LoadRen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90AD815-345C-418B-9CA7-FBCCAB445F4E}"/>
            </a:ext>
          </a:extLst>
        </xdr:cNvPr>
        <xdr:cNvSpPr/>
      </xdr:nvSpPr>
      <xdr:spPr>
        <a:xfrm>
          <a:off x="12982575" y="5810250"/>
          <a:ext cx="1809750" cy="54292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600">
              <a:solidFill>
                <a:srgbClr val="0070C0"/>
              </a:solidFill>
              <a:latin typeface="Bauhaus 93" panose="04030905020B02020C02" pitchFamily="82" charset="0"/>
            </a:rPr>
            <a:t>LOAD RENT DATA</a:t>
          </a:r>
          <a:endParaRPr lang="x-none" sz="1600">
            <a:solidFill>
              <a:srgbClr val="0070C0"/>
            </a:solidFill>
            <a:latin typeface="Bauhaus 93" panose="04030905020B02020C02" pitchFamily="8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606717</xdr:colOff>
      <xdr:row>36</xdr:row>
      <xdr:rowOff>93650</xdr:rowOff>
    </xdr:from>
    <xdr:to>
      <xdr:col>9</xdr:col>
      <xdr:colOff>201704</xdr:colOff>
      <xdr:row>38</xdr:row>
      <xdr:rowOff>123265</xdr:rowOff>
    </xdr:to>
    <xdr:sp macro="[0]!SaveExpenditure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A6DF74C-77D5-BBE7-579D-6D398668356A}"/>
            </a:ext>
          </a:extLst>
        </xdr:cNvPr>
        <xdr:cNvSpPr/>
      </xdr:nvSpPr>
      <xdr:spPr>
        <a:xfrm>
          <a:off x="11543658" y="7108532"/>
          <a:ext cx="1724105" cy="556292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latin typeface="Bauhaus 93" panose="04030905020B02020C02" pitchFamily="82" charset="0"/>
            </a:rPr>
            <a:t>SAVE DATA</a:t>
          </a:r>
          <a:endParaRPr lang="x-none" sz="2400">
            <a:latin typeface="Bauhaus 93" panose="04030905020B02020C02" pitchFamily="82" charset="0"/>
          </a:endParaRPr>
        </a:p>
      </xdr:txBody>
    </xdr:sp>
    <xdr:clientData/>
  </xdr:twoCellAnchor>
  <xdr:twoCellAnchor>
    <xdr:from>
      <xdr:col>9</xdr:col>
      <xdr:colOff>617125</xdr:colOff>
      <xdr:row>36</xdr:row>
      <xdr:rowOff>73640</xdr:rowOff>
    </xdr:from>
    <xdr:to>
      <xdr:col>11</xdr:col>
      <xdr:colOff>44823</xdr:colOff>
      <xdr:row>38</xdr:row>
      <xdr:rowOff>123265</xdr:rowOff>
    </xdr:to>
    <xdr:sp macro="[0]!LoadExpenditure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CDBC763-CA08-42F3-8CCD-2784421234C0}"/>
            </a:ext>
          </a:extLst>
        </xdr:cNvPr>
        <xdr:cNvSpPr/>
      </xdr:nvSpPr>
      <xdr:spPr>
        <a:xfrm>
          <a:off x="13683184" y="7088522"/>
          <a:ext cx="1803345" cy="576302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>
              <a:solidFill>
                <a:schemeClr val="bg1"/>
              </a:solidFill>
              <a:latin typeface="Bauhaus 93" panose="04030905020B02020C02" pitchFamily="82" charset="0"/>
            </a:rPr>
            <a:t>LOAD DATA	</a:t>
          </a:r>
          <a:endParaRPr lang="x-none" sz="2400">
            <a:solidFill>
              <a:schemeClr val="bg1"/>
            </a:solidFill>
            <a:latin typeface="Bauhaus 93" panose="04030905020B02020C02" pitchFamily="82" charset="0"/>
          </a:endParaRPr>
        </a:p>
      </xdr:txBody>
    </xdr:sp>
    <xdr:clientData/>
  </xdr:twoCellAnchor>
  <xdr:twoCellAnchor>
    <xdr:from>
      <xdr:col>11</xdr:col>
      <xdr:colOff>532282</xdr:colOff>
      <xdr:row>36</xdr:row>
      <xdr:rowOff>112059</xdr:rowOff>
    </xdr:from>
    <xdr:to>
      <xdr:col>14</xdr:col>
      <xdr:colOff>44824</xdr:colOff>
      <xdr:row>38</xdr:row>
      <xdr:rowOff>134470</xdr:rowOff>
    </xdr:to>
    <xdr:sp macro="[0]!StartNew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4CDD7B2-A319-4888-93E2-BC5B1FE248AC}"/>
            </a:ext>
          </a:extLst>
        </xdr:cNvPr>
        <xdr:cNvSpPr/>
      </xdr:nvSpPr>
      <xdr:spPr>
        <a:xfrm>
          <a:off x="15973988" y="7126941"/>
          <a:ext cx="2157130" cy="54908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>
              <a:latin typeface="Bauhaus 93" panose="04030905020B02020C02" pitchFamily="82" charset="0"/>
            </a:rPr>
            <a:t>START NEW MONTH</a:t>
          </a:r>
          <a:endParaRPr lang="x-none" sz="1800">
            <a:latin typeface="Bauhaus 93" panose="04030905020B02020C02" pitchFamily="82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63500</xdr:colOff>
      <xdr:row>0</xdr:row>
      <xdr:rowOff>76200</xdr:rowOff>
    </xdr:from>
    <xdr:to>
      <xdr:col>14</xdr:col>
      <xdr:colOff>139700</xdr:colOff>
      <xdr:row>1</xdr:row>
      <xdr:rowOff>50800</xdr:rowOff>
    </xdr:to>
    <xdr:sp macro="[0]!SaveRentMisc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0F659B4-7779-D672-F8FA-75020C51E87E}"/>
            </a:ext>
          </a:extLst>
        </xdr:cNvPr>
        <xdr:cNvSpPr/>
      </xdr:nvSpPr>
      <xdr:spPr>
        <a:xfrm>
          <a:off x="11684000" y="76200"/>
          <a:ext cx="1905000" cy="355600"/>
        </a:xfrm>
        <a:prstGeom prst="roundRect">
          <a:avLst/>
        </a:prstGeom>
        <a:solidFill>
          <a:srgbClr val="2C3E5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SAVE TO DATABASE</a:t>
          </a:r>
          <a:endParaRPr lang="en-A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11</xdr:col>
      <xdr:colOff>63500</xdr:colOff>
      <xdr:row>1</xdr:row>
      <xdr:rowOff>127000</xdr:rowOff>
    </xdr:from>
    <xdr:to>
      <xdr:col>14</xdr:col>
      <xdr:colOff>139700</xdr:colOff>
      <xdr:row>2</xdr:row>
      <xdr:rowOff>206375</xdr:rowOff>
    </xdr:to>
    <xdr:sp macro="[0]!LoadRentMisc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FF8416D-5223-0369-D2D2-5DA819F3D0AD}"/>
            </a:ext>
          </a:extLst>
        </xdr:cNvPr>
        <xdr:cNvSpPr/>
      </xdr:nvSpPr>
      <xdr:spPr>
        <a:xfrm>
          <a:off x="11684000" y="508000"/>
          <a:ext cx="1905000" cy="355600"/>
        </a:xfrm>
        <a:prstGeom prst="roundRect">
          <a:avLst/>
        </a:prstGeom>
        <a:solidFill>
          <a:srgbClr val="1E5631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LOAD MONTH</a:t>
          </a:r>
          <a:endParaRPr lang="en-AS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11</xdr:col>
      <xdr:colOff>63500</xdr:colOff>
      <xdr:row>3</xdr:row>
      <xdr:rowOff>34925</xdr:rowOff>
    </xdr:from>
    <xdr:to>
      <xdr:col>14</xdr:col>
      <xdr:colOff>139700</xdr:colOff>
      <xdr:row>4</xdr:row>
      <xdr:rowOff>180975</xdr:rowOff>
    </xdr:to>
    <xdr:sp macro="[0]!StartNewRentMiscMont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7CF2C5B-7C1D-C33E-7026-018A0AF03CAC}"/>
            </a:ext>
          </a:extLst>
        </xdr:cNvPr>
        <xdr:cNvSpPr/>
      </xdr:nvSpPr>
      <xdr:spPr>
        <a:xfrm>
          <a:off x="11684000" y="939800"/>
          <a:ext cx="1905000" cy="355600"/>
        </a:xfrm>
        <a:prstGeom prst="roundRect">
          <a:avLst/>
        </a:prstGeom>
        <a:solidFill>
          <a:srgbClr val="7B181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START NEW MONTH</a:t>
          </a:r>
          <a:endParaRPr lang="en-AS" sz="900" b="1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</xdr:col>
      <xdr:colOff>1285875</xdr:colOff>
      <xdr:row>1</xdr:row>
      <xdr:rowOff>254000</xdr:rowOff>
    </xdr:to>
    <xdr:sp macro="SaveDailyPurchases" textlink="">
      <xdr:nvSpPr>
        <xdr:cNvPr id="2" name="Rectangle 1">
          <a:extLst>
            <a:ext uri="{FF2B5EF4-FFF2-40B4-BE49-F238E27FC236}">
              <a16:creationId xmlns:a16="http://schemas.microsoft.com/office/drawing/2014/main" id="{87B9C7ED-4DF4-FC5A-7D77-0EEC7BD4FE20}"/>
            </a:ext>
          </a:extLst>
        </xdr:cNvPr>
        <xdr:cNvSpPr/>
      </xdr:nvSpPr>
      <xdr:spPr>
        <a:xfrm>
          <a:off x="127000" y="127000"/>
          <a:ext cx="2540000" cy="5080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x-none" sz="1400" b="1">
              <a:solidFill>
                <a:srgbClr val="FFFFFF"/>
              </a:solidFill>
            </a:rPr>
            <a:t>💾 </a:t>
          </a:r>
          <a:r>
            <a:rPr lang="en-US" sz="1400" b="1">
              <a:solidFill>
                <a:srgbClr val="FFFFFF"/>
              </a:solidFill>
            </a:rPr>
            <a:t>SAVE TO LEDGER</a:t>
          </a:r>
          <a:endParaRPr lang="x-none" sz="14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EntryFormTable" displayName="EntryFormTable" ref="A3:G92" totalsRowShown="0">
  <autoFilter ref="A3:G92" xr:uid="{00000000-0009-0000-0100-000002000000}"/>
  <tableColumns count="7">
    <tableColumn id="1" xr3:uid="{00000000-0010-0000-0000-000001000000}" name="GROUP / FOR"/>
    <tableColumn id="2" xr3:uid="{00000000-0010-0000-0000-000002000000}" name="ITEM NAME"/>
    <tableColumn id="3" xr3:uid="{00000000-0010-0000-0000-000003000000}" name="QTY (KG)"/>
    <tableColumn id="4" xr3:uid="{00000000-0010-0000-0000-000004000000}" name="QTY (PCS)"/>
    <tableColumn id="5" xr3:uid="{00000000-0010-0000-0000-000005000000}" name="RATE"/>
    <tableColumn id="6" xr3:uid="{00000000-0010-0000-0000-000006000000}" name="TRSP"/>
    <tableColumn id="7" xr3:uid="{00000000-0010-0000-0000-000007000000}" name="TOTAL 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MiscPaymentsTable" displayName="MiscPaymentsTable" ref="A1:D3" totalsRowShown="0">
  <autoFilter ref="A1:D3" xr:uid="{00000000-0009-0000-0100-000003000000}"/>
  <tableColumns count="4">
    <tableColumn id="1" xr3:uid="{00000000-0010-0000-0200-000001000000}" name="DATE" dataDxfId="1"/>
    <tableColumn id="2" xr3:uid="{00000000-0010-0000-0200-000002000000}" name="PAID TO"/>
    <tableColumn id="3" xr3:uid="{00000000-0010-0000-0200-000003000000}" name="DESCRIPTION"/>
    <tableColumn id="4" xr3:uid="{00000000-0010-0000-0200-000004000000}" name="AMOUNT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P36"/>
  <sheetViews>
    <sheetView showOutlineSymbols="0" topLeftCell="A7" zoomScale="70" zoomScaleNormal="70" workbookViewId="0">
      <selection activeCell="P26" sqref="P26"/>
    </sheetView>
  </sheetViews>
  <sheetFormatPr defaultColWidth="8.85546875" defaultRowHeight="15" outlineLevelRow="2" x14ac:dyDescent="0.25"/>
  <cols>
    <col min="1" max="1" width="26.7109375" bestFit="1" customWidth="1"/>
    <col min="2" max="2" width="22" bestFit="1" customWidth="1"/>
    <col min="3" max="3" width="28.85546875" bestFit="1" customWidth="1"/>
    <col min="4" max="4" width="22" bestFit="1" customWidth="1"/>
    <col min="5" max="5" width="28.7109375" bestFit="1" customWidth="1"/>
    <col min="6" max="6" width="14.5703125" bestFit="1" customWidth="1"/>
    <col min="7" max="7" width="27.7109375" bestFit="1" customWidth="1"/>
    <col min="8" max="8" width="31.7109375" bestFit="1" customWidth="1"/>
    <col min="9" max="9" width="27.140625" bestFit="1" customWidth="1"/>
    <col min="10" max="10" width="26" bestFit="1" customWidth="1"/>
    <col min="11" max="11" width="18.7109375" bestFit="1" customWidth="1"/>
    <col min="12" max="12" width="20.5703125" bestFit="1" customWidth="1"/>
    <col min="13" max="13" width="26.85546875" bestFit="1" customWidth="1"/>
    <col min="14" max="14" width="22.140625" bestFit="1" customWidth="1"/>
    <col min="15" max="15" width="15.7109375" bestFit="1" customWidth="1"/>
    <col min="16" max="16" width="22.140625" bestFit="1" customWidth="1"/>
  </cols>
  <sheetData>
    <row r="1" spans="1:16" s="1" customFormat="1" ht="24.95" customHeight="1" x14ac:dyDescent="0.25">
      <c r="A1" s="28" t="s">
        <v>325</v>
      </c>
      <c r="B1" s="28" t="s">
        <v>0</v>
      </c>
      <c r="C1" s="28" t="s">
        <v>1</v>
      </c>
      <c r="D1" s="28" t="s">
        <v>2</v>
      </c>
      <c r="E1" s="28" t="s">
        <v>3</v>
      </c>
      <c r="F1" s="28" t="s">
        <v>4</v>
      </c>
      <c r="G1" s="28" t="s">
        <v>5</v>
      </c>
      <c r="H1" s="28" t="s">
        <v>6</v>
      </c>
      <c r="I1" s="28" t="s">
        <v>224</v>
      </c>
      <c r="J1" s="29" t="s">
        <v>359</v>
      </c>
      <c r="K1" s="44" t="s">
        <v>74</v>
      </c>
      <c r="L1" s="44" t="s">
        <v>206</v>
      </c>
      <c r="M1" s="44" t="s">
        <v>203</v>
      </c>
      <c r="N1" s="44" t="s">
        <v>204</v>
      </c>
      <c r="O1" s="44" t="s">
        <v>205</v>
      </c>
      <c r="P1" s="8" t="s">
        <v>223</v>
      </c>
    </row>
    <row r="2" spans="1:16" ht="26.1" customHeight="1" outlineLevel="2" x14ac:dyDescent="0.35">
      <c r="A2" s="120">
        <v>46298</v>
      </c>
      <c r="B2" s="121" t="s">
        <v>7</v>
      </c>
      <c r="C2" s="122" t="s">
        <v>8</v>
      </c>
      <c r="D2" s="123">
        <v>35000</v>
      </c>
      <c r="E2" s="122" t="s">
        <v>9</v>
      </c>
      <c r="F2" s="124" t="s">
        <v>10</v>
      </c>
      <c r="G2" s="122"/>
      <c r="H2" s="125"/>
      <c r="I2" s="118">
        <v>35000</v>
      </c>
      <c r="J2" s="119">
        <v>0</v>
      </c>
      <c r="K2" s="45" t="s">
        <v>10</v>
      </c>
      <c r="L2" s="46">
        <v>46301</v>
      </c>
      <c r="M2" s="48">
        <v>246600</v>
      </c>
      <c r="N2" s="49">
        <v>226600</v>
      </c>
      <c r="O2" s="50">
        <v>20000</v>
      </c>
      <c r="P2" s="25" t="s">
        <v>474</v>
      </c>
    </row>
    <row r="3" spans="1:16" ht="26.1" customHeight="1" outlineLevel="2" x14ac:dyDescent="0.35">
      <c r="A3" s="126">
        <v>46298</v>
      </c>
      <c r="B3" s="127" t="s">
        <v>11</v>
      </c>
      <c r="C3" s="128" t="s">
        <v>12</v>
      </c>
      <c r="D3" s="129">
        <v>11000</v>
      </c>
      <c r="E3" s="128" t="s">
        <v>13</v>
      </c>
      <c r="F3" s="130" t="s">
        <v>10</v>
      </c>
      <c r="G3" s="128"/>
      <c r="H3" s="131"/>
      <c r="I3" s="118">
        <v>11000</v>
      </c>
      <c r="J3" s="119">
        <v>0</v>
      </c>
      <c r="K3" s="47" t="s">
        <v>31</v>
      </c>
      <c r="L3" s="93">
        <v>46317</v>
      </c>
      <c r="M3" s="48">
        <v>420500</v>
      </c>
      <c r="N3" s="49">
        <v>420500</v>
      </c>
      <c r="O3" s="50">
        <v>0</v>
      </c>
      <c r="P3" s="26"/>
    </row>
    <row r="4" spans="1:16" ht="26.1" customHeight="1" outlineLevel="2" x14ac:dyDescent="0.35">
      <c r="A4" s="120">
        <v>46298</v>
      </c>
      <c r="B4" s="121" t="s">
        <v>14</v>
      </c>
      <c r="C4" s="122" t="s">
        <v>12</v>
      </c>
      <c r="D4" s="123">
        <v>26000</v>
      </c>
      <c r="E4" s="122" t="s">
        <v>15</v>
      </c>
      <c r="F4" s="124" t="s">
        <v>10</v>
      </c>
      <c r="G4" s="122"/>
      <c r="H4" s="125"/>
      <c r="I4" s="118">
        <v>26000</v>
      </c>
      <c r="J4" s="119">
        <v>0</v>
      </c>
      <c r="K4" s="45" t="s">
        <v>55</v>
      </c>
      <c r="L4" s="45" t="s">
        <v>270</v>
      </c>
      <c r="M4" s="48">
        <v>66000</v>
      </c>
      <c r="N4" s="49">
        <v>0</v>
      </c>
      <c r="O4" s="50">
        <v>66000</v>
      </c>
      <c r="P4" s="26"/>
    </row>
    <row r="5" spans="1:16" ht="26.1" customHeight="1" outlineLevel="2" x14ac:dyDescent="0.35">
      <c r="A5" s="126">
        <v>46298</v>
      </c>
      <c r="B5" s="127" t="s">
        <v>16</v>
      </c>
      <c r="C5" s="128" t="s">
        <v>12</v>
      </c>
      <c r="D5" s="129">
        <v>35000</v>
      </c>
      <c r="E5" s="128" t="s">
        <v>17</v>
      </c>
      <c r="F5" s="130" t="s">
        <v>10</v>
      </c>
      <c r="G5" s="128"/>
      <c r="H5" s="131"/>
      <c r="I5" s="118">
        <v>35000</v>
      </c>
      <c r="J5" s="119">
        <v>0</v>
      </c>
      <c r="K5" s="47" t="s">
        <v>64</v>
      </c>
      <c r="L5" s="47" t="s">
        <v>270</v>
      </c>
      <c r="M5" s="48">
        <v>106500</v>
      </c>
      <c r="N5" s="49">
        <v>0</v>
      </c>
      <c r="O5" s="50">
        <v>106500</v>
      </c>
      <c r="P5" s="26"/>
    </row>
    <row r="6" spans="1:16" ht="26.1" customHeight="1" outlineLevel="2" x14ac:dyDescent="0.35">
      <c r="A6" s="120">
        <v>46298</v>
      </c>
      <c r="B6" s="121" t="s">
        <v>18</v>
      </c>
      <c r="C6" s="122" t="s">
        <v>12</v>
      </c>
      <c r="D6" s="123">
        <v>20000</v>
      </c>
      <c r="E6" s="122" t="s">
        <v>19</v>
      </c>
      <c r="F6" s="124" t="s">
        <v>10</v>
      </c>
      <c r="G6" s="122"/>
      <c r="H6" s="125"/>
      <c r="I6" s="118">
        <v>20000</v>
      </c>
      <c r="J6" s="119">
        <v>0</v>
      </c>
      <c r="K6" s="15" t="s">
        <v>321</v>
      </c>
      <c r="L6" s="15"/>
      <c r="M6" s="48">
        <f>SUM(M2:M5)</f>
        <v>839600</v>
      </c>
      <c r="N6" s="49">
        <f>SUM(N2:N5)</f>
        <v>647100</v>
      </c>
      <c r="O6" s="50">
        <f>SUM(O2:O5)</f>
        <v>192500</v>
      </c>
      <c r="P6" s="26"/>
    </row>
    <row r="7" spans="1:16" ht="21.95" customHeight="1" outlineLevel="2" x14ac:dyDescent="0.25">
      <c r="A7" s="126">
        <v>46298</v>
      </c>
      <c r="B7" s="127" t="s">
        <v>20</v>
      </c>
      <c r="C7" s="128" t="s">
        <v>8</v>
      </c>
      <c r="D7" s="129">
        <v>24500</v>
      </c>
      <c r="E7" s="128" t="s">
        <v>21</v>
      </c>
      <c r="F7" s="130" t="s">
        <v>10</v>
      </c>
      <c r="G7" s="128"/>
      <c r="H7" s="131"/>
      <c r="I7" s="118">
        <v>24500</v>
      </c>
      <c r="J7" s="119">
        <v>0</v>
      </c>
    </row>
    <row r="8" spans="1:16" ht="21.95" customHeight="1" outlineLevel="2" x14ac:dyDescent="0.25">
      <c r="A8" s="120">
        <v>46301</v>
      </c>
      <c r="B8" s="121" t="s">
        <v>22</v>
      </c>
      <c r="C8" s="122">
        <v>56</v>
      </c>
      <c r="D8" s="123">
        <v>50000</v>
      </c>
      <c r="E8" s="122" t="s">
        <v>23</v>
      </c>
      <c r="F8" s="124" t="s">
        <v>10</v>
      </c>
      <c r="G8" s="122"/>
      <c r="H8" s="125"/>
      <c r="I8" s="118">
        <v>50000</v>
      </c>
      <c r="J8" s="119">
        <v>0</v>
      </c>
    </row>
    <row r="9" spans="1:16" ht="21.95" customHeight="1" outlineLevel="2" x14ac:dyDescent="0.25">
      <c r="A9" s="126">
        <v>46298</v>
      </c>
      <c r="B9" s="127" t="s">
        <v>24</v>
      </c>
      <c r="C9" s="128" t="s">
        <v>8</v>
      </c>
      <c r="D9" s="129">
        <v>12100</v>
      </c>
      <c r="E9" s="128" t="s">
        <v>15</v>
      </c>
      <c r="F9" s="130" t="s">
        <v>10</v>
      </c>
      <c r="G9" s="128"/>
      <c r="H9" s="131"/>
      <c r="I9" s="118">
        <v>12100</v>
      </c>
      <c r="J9" s="119">
        <v>0</v>
      </c>
    </row>
    <row r="10" spans="1:16" ht="21.95" customHeight="1" outlineLevel="2" x14ac:dyDescent="0.25">
      <c r="A10" s="120" t="s">
        <v>270</v>
      </c>
      <c r="B10" s="121" t="s">
        <v>25</v>
      </c>
      <c r="C10" s="122" t="s">
        <v>8</v>
      </c>
      <c r="D10" s="123">
        <v>20000</v>
      </c>
      <c r="E10" s="122" t="s">
        <v>26</v>
      </c>
      <c r="F10" s="124" t="s">
        <v>10</v>
      </c>
      <c r="G10" s="122"/>
      <c r="H10" s="125"/>
      <c r="I10" s="118">
        <v>0</v>
      </c>
      <c r="J10" s="119">
        <v>20000</v>
      </c>
    </row>
    <row r="11" spans="1:16" ht="21.95" customHeight="1" outlineLevel="2" x14ac:dyDescent="0.25">
      <c r="A11" s="126">
        <v>46298</v>
      </c>
      <c r="B11" s="127" t="s">
        <v>27</v>
      </c>
      <c r="C11" s="128" t="s">
        <v>8</v>
      </c>
      <c r="D11" s="129">
        <v>13000</v>
      </c>
      <c r="E11" s="128" t="s">
        <v>28</v>
      </c>
      <c r="F11" s="130" t="s">
        <v>10</v>
      </c>
      <c r="G11" s="128"/>
      <c r="H11" s="131"/>
      <c r="I11" s="118">
        <v>13000</v>
      </c>
      <c r="J11" s="119">
        <v>0</v>
      </c>
    </row>
    <row r="12" spans="1:16" ht="21.95" customHeight="1" outlineLevel="1" x14ac:dyDescent="0.25">
      <c r="A12" s="132"/>
      <c r="B12" s="133"/>
      <c r="C12" s="134"/>
      <c r="D12" s="135">
        <f>SUBTOTAL(9,D2:D11)</f>
        <v>246600</v>
      </c>
      <c r="E12" s="134"/>
      <c r="F12" s="132" t="s">
        <v>329</v>
      </c>
      <c r="G12" s="134"/>
      <c r="H12" s="136"/>
      <c r="I12" s="118"/>
      <c r="J12" s="119"/>
    </row>
    <row r="13" spans="1:16" ht="21.95" customHeight="1" outlineLevel="2" x14ac:dyDescent="0.25">
      <c r="A13" s="137">
        <v>46311</v>
      </c>
      <c r="B13" s="138" t="s">
        <v>29</v>
      </c>
      <c r="C13" s="139" t="s">
        <v>8</v>
      </c>
      <c r="D13" s="140">
        <v>70000</v>
      </c>
      <c r="E13" s="139" t="s">
        <v>30</v>
      </c>
      <c r="F13" s="141" t="s">
        <v>31</v>
      </c>
      <c r="G13" s="139"/>
      <c r="H13" s="142"/>
      <c r="I13" s="118">
        <v>70000</v>
      </c>
      <c r="J13" s="119">
        <v>0</v>
      </c>
    </row>
    <row r="14" spans="1:16" ht="21.95" customHeight="1" outlineLevel="2" x14ac:dyDescent="0.25">
      <c r="A14" s="143">
        <v>46311</v>
      </c>
      <c r="B14" s="144" t="s">
        <v>32</v>
      </c>
      <c r="C14" s="145" t="s">
        <v>12</v>
      </c>
      <c r="D14" s="146">
        <v>45000</v>
      </c>
      <c r="E14" s="145" t="s">
        <v>33</v>
      </c>
      <c r="F14" s="147" t="s">
        <v>31</v>
      </c>
      <c r="G14" s="145"/>
      <c r="H14" s="148"/>
      <c r="I14" s="118">
        <v>45000</v>
      </c>
      <c r="J14" s="119">
        <v>0</v>
      </c>
    </row>
    <row r="15" spans="1:16" ht="21.95" customHeight="1" outlineLevel="2" x14ac:dyDescent="0.25">
      <c r="A15" s="137">
        <v>46317</v>
      </c>
      <c r="B15" s="138" t="s">
        <v>34</v>
      </c>
      <c r="C15" s="139" t="s">
        <v>8</v>
      </c>
      <c r="D15" s="140">
        <v>75000</v>
      </c>
      <c r="E15" s="139" t="s">
        <v>35</v>
      </c>
      <c r="F15" s="141" t="s">
        <v>31</v>
      </c>
      <c r="G15" s="139"/>
      <c r="H15" s="142"/>
      <c r="I15" s="118">
        <v>75000</v>
      </c>
      <c r="J15" s="119">
        <v>0</v>
      </c>
    </row>
    <row r="16" spans="1:16" ht="21.95" customHeight="1" outlineLevel="2" x14ac:dyDescent="0.25">
      <c r="A16" s="143">
        <v>46309</v>
      </c>
      <c r="B16" s="144" t="s">
        <v>36</v>
      </c>
      <c r="C16" s="145" t="s">
        <v>8</v>
      </c>
      <c r="D16" s="146">
        <v>27500</v>
      </c>
      <c r="E16" s="145" t="s">
        <v>37</v>
      </c>
      <c r="F16" s="147" t="s">
        <v>31</v>
      </c>
      <c r="G16" s="145"/>
      <c r="H16" s="148"/>
      <c r="I16" s="118">
        <v>27500</v>
      </c>
      <c r="J16" s="119">
        <v>0</v>
      </c>
    </row>
    <row r="17" spans="1:10" ht="21.95" customHeight="1" outlineLevel="2" x14ac:dyDescent="0.25">
      <c r="A17" s="137">
        <v>46308</v>
      </c>
      <c r="B17" s="138" t="s">
        <v>38</v>
      </c>
      <c r="C17" s="139" t="s">
        <v>8</v>
      </c>
      <c r="D17" s="140">
        <v>35000</v>
      </c>
      <c r="E17" s="139" t="s">
        <v>39</v>
      </c>
      <c r="F17" s="141" t="s">
        <v>31</v>
      </c>
      <c r="G17" s="139"/>
      <c r="H17" s="142"/>
      <c r="I17" s="118">
        <v>35000</v>
      </c>
      <c r="J17" s="119">
        <v>0</v>
      </c>
    </row>
    <row r="18" spans="1:10" ht="21.95" customHeight="1" outlineLevel="2" x14ac:dyDescent="0.25">
      <c r="A18" s="143">
        <v>46311</v>
      </c>
      <c r="B18" s="144" t="s">
        <v>40</v>
      </c>
      <c r="C18" s="145" t="s">
        <v>12</v>
      </c>
      <c r="D18" s="146">
        <v>30000</v>
      </c>
      <c r="E18" s="145" t="s">
        <v>41</v>
      </c>
      <c r="F18" s="147" t="s">
        <v>31</v>
      </c>
      <c r="G18" s="145"/>
      <c r="H18" s="148"/>
      <c r="I18" s="118">
        <v>30000</v>
      </c>
      <c r="J18" s="119">
        <v>0</v>
      </c>
    </row>
    <row r="19" spans="1:10" ht="21.95" customHeight="1" outlineLevel="2" x14ac:dyDescent="0.25">
      <c r="A19" s="137">
        <v>46305</v>
      </c>
      <c r="B19" s="138" t="s">
        <v>42</v>
      </c>
      <c r="C19" s="139" t="s">
        <v>12</v>
      </c>
      <c r="D19" s="140">
        <v>20000</v>
      </c>
      <c r="E19" s="139" t="s">
        <v>43</v>
      </c>
      <c r="F19" s="141" t="s">
        <v>31</v>
      </c>
      <c r="G19" s="139" t="s">
        <v>44</v>
      </c>
      <c r="H19" s="142"/>
      <c r="I19" s="118">
        <v>20000</v>
      </c>
      <c r="J19" s="119">
        <v>0</v>
      </c>
    </row>
    <row r="20" spans="1:10" ht="21.95" customHeight="1" outlineLevel="2" x14ac:dyDescent="0.25">
      <c r="A20" s="143">
        <v>46311</v>
      </c>
      <c r="B20" s="144" t="s">
        <v>45</v>
      </c>
      <c r="C20" s="145" t="s">
        <v>8</v>
      </c>
      <c r="D20" s="146">
        <v>19000</v>
      </c>
      <c r="E20" s="145" t="s">
        <v>46</v>
      </c>
      <c r="F20" s="147" t="s">
        <v>31</v>
      </c>
      <c r="G20" s="145"/>
      <c r="H20" s="148"/>
      <c r="I20" s="118">
        <v>19000</v>
      </c>
      <c r="J20" s="119">
        <v>0</v>
      </c>
    </row>
    <row r="21" spans="1:10" ht="21.95" customHeight="1" outlineLevel="2" x14ac:dyDescent="0.25">
      <c r="A21" s="137">
        <v>46307</v>
      </c>
      <c r="B21" s="138" t="s">
        <v>47</v>
      </c>
      <c r="C21" s="139" t="s">
        <v>8</v>
      </c>
      <c r="D21" s="140">
        <v>38000</v>
      </c>
      <c r="E21" s="139" t="s">
        <v>48</v>
      </c>
      <c r="F21" s="141" t="s">
        <v>31</v>
      </c>
      <c r="G21" s="139"/>
      <c r="H21" s="142"/>
      <c r="I21" s="118">
        <v>38000</v>
      </c>
      <c r="J21" s="119">
        <v>0</v>
      </c>
    </row>
    <row r="22" spans="1:10" ht="21.95" customHeight="1" outlineLevel="2" x14ac:dyDescent="0.25">
      <c r="A22" s="143">
        <v>46310</v>
      </c>
      <c r="B22" s="144" t="s">
        <v>49</v>
      </c>
      <c r="C22" s="145" t="s">
        <v>8</v>
      </c>
      <c r="D22" s="146">
        <v>16000</v>
      </c>
      <c r="E22" s="145" t="s">
        <v>50</v>
      </c>
      <c r="F22" s="147" t="s">
        <v>31</v>
      </c>
      <c r="G22" s="145"/>
      <c r="H22" s="148"/>
      <c r="I22" s="118">
        <v>16000</v>
      </c>
      <c r="J22" s="119">
        <v>0</v>
      </c>
    </row>
    <row r="23" spans="1:10" ht="21.95" customHeight="1" outlineLevel="2" x14ac:dyDescent="0.25">
      <c r="A23" s="137">
        <v>46311</v>
      </c>
      <c r="B23" s="138" t="s">
        <v>51</v>
      </c>
      <c r="C23" s="139" t="s">
        <v>12</v>
      </c>
      <c r="D23" s="140">
        <v>45000</v>
      </c>
      <c r="E23" s="139" t="s">
        <v>52</v>
      </c>
      <c r="F23" s="141" t="s">
        <v>31</v>
      </c>
      <c r="G23" s="139"/>
      <c r="H23" s="142"/>
      <c r="I23" s="118">
        <v>45000</v>
      </c>
      <c r="J23" s="119">
        <v>0</v>
      </c>
    </row>
    <row r="24" spans="1:10" ht="21.95" customHeight="1" outlineLevel="1" x14ac:dyDescent="0.25">
      <c r="A24" s="149"/>
      <c r="B24" s="150"/>
      <c r="C24" s="151"/>
      <c r="D24" s="152">
        <f>SUBTOTAL(9,D13:D23)</f>
        <v>420500</v>
      </c>
      <c r="E24" s="151"/>
      <c r="F24" s="153" t="s">
        <v>330</v>
      </c>
      <c r="G24" s="151"/>
      <c r="H24" s="154"/>
      <c r="I24" s="118"/>
      <c r="J24" s="119"/>
    </row>
    <row r="25" spans="1:10" ht="21.95" customHeight="1" outlineLevel="2" x14ac:dyDescent="0.25">
      <c r="A25" s="155" t="s">
        <v>270</v>
      </c>
      <c r="B25" s="156" t="s">
        <v>53</v>
      </c>
      <c r="C25" s="157" t="s">
        <v>12</v>
      </c>
      <c r="D25" s="158">
        <v>14000</v>
      </c>
      <c r="E25" s="157" t="s">
        <v>54</v>
      </c>
      <c r="F25" s="159" t="s">
        <v>55</v>
      </c>
      <c r="G25" s="157"/>
      <c r="H25" s="160"/>
      <c r="I25" s="118">
        <v>0</v>
      </c>
      <c r="J25" s="119">
        <v>14000</v>
      </c>
    </row>
    <row r="26" spans="1:10" ht="21.95" customHeight="1" outlineLevel="2" x14ac:dyDescent="0.25">
      <c r="A26" s="161" t="s">
        <v>270</v>
      </c>
      <c r="B26" s="162" t="s">
        <v>56</v>
      </c>
      <c r="C26" s="163" t="s">
        <v>8</v>
      </c>
      <c r="D26" s="164">
        <v>25000</v>
      </c>
      <c r="E26" s="163" t="s">
        <v>17</v>
      </c>
      <c r="F26" s="165" t="s">
        <v>55</v>
      </c>
      <c r="G26" s="163"/>
      <c r="H26" s="166"/>
      <c r="I26" s="118">
        <v>0</v>
      </c>
      <c r="J26" s="119">
        <v>25000</v>
      </c>
    </row>
    <row r="27" spans="1:10" ht="21.95" customHeight="1" outlineLevel="2" x14ac:dyDescent="0.25">
      <c r="A27" s="155" t="s">
        <v>270</v>
      </c>
      <c r="B27" s="156" t="s">
        <v>57</v>
      </c>
      <c r="C27" s="157" t="s">
        <v>58</v>
      </c>
      <c r="D27" s="158">
        <v>15000</v>
      </c>
      <c r="E27" s="157" t="s">
        <v>59</v>
      </c>
      <c r="F27" s="159" t="s">
        <v>55</v>
      </c>
      <c r="G27" s="157"/>
      <c r="H27" s="160"/>
      <c r="I27" s="118">
        <v>0</v>
      </c>
      <c r="J27" s="119">
        <v>15000</v>
      </c>
    </row>
    <row r="28" spans="1:10" ht="21.95" customHeight="1" outlineLevel="2" x14ac:dyDescent="0.25">
      <c r="A28" s="161" t="s">
        <v>270</v>
      </c>
      <c r="B28" s="162" t="s">
        <v>60</v>
      </c>
      <c r="C28" s="163" t="s">
        <v>12</v>
      </c>
      <c r="D28" s="164">
        <v>12000</v>
      </c>
      <c r="E28" s="163" t="s">
        <v>61</v>
      </c>
      <c r="F28" s="165" t="s">
        <v>55</v>
      </c>
      <c r="G28" s="163"/>
      <c r="H28" s="166"/>
      <c r="I28" s="118">
        <v>0</v>
      </c>
      <c r="J28" s="119">
        <v>12000</v>
      </c>
    </row>
    <row r="29" spans="1:10" ht="21.95" customHeight="1" outlineLevel="1" x14ac:dyDescent="0.25">
      <c r="A29" s="167"/>
      <c r="B29" s="168"/>
      <c r="C29" s="169"/>
      <c r="D29" s="170">
        <f>SUBTOTAL(9,D25:D28)</f>
        <v>66000</v>
      </c>
      <c r="E29" s="169"/>
      <c r="F29" s="171" t="s">
        <v>331</v>
      </c>
      <c r="G29" s="169"/>
      <c r="H29" s="172"/>
      <c r="I29" s="118"/>
      <c r="J29" s="119"/>
    </row>
    <row r="30" spans="1:10" ht="21.95" customHeight="1" outlineLevel="2" x14ac:dyDescent="0.25">
      <c r="A30" s="173">
        <v>46308</v>
      </c>
      <c r="B30" s="174" t="s">
        <v>62</v>
      </c>
      <c r="C30" s="175" t="s">
        <v>8</v>
      </c>
      <c r="D30" s="176">
        <v>27500</v>
      </c>
      <c r="E30" s="175" t="s">
        <v>63</v>
      </c>
      <c r="F30" s="177" t="s">
        <v>64</v>
      </c>
      <c r="G30" s="175"/>
      <c r="H30" s="178"/>
      <c r="I30" s="118">
        <v>0</v>
      </c>
      <c r="J30" s="119">
        <v>27500</v>
      </c>
    </row>
    <row r="31" spans="1:10" ht="21.95" customHeight="1" outlineLevel="2" x14ac:dyDescent="0.25">
      <c r="A31" s="179" t="s">
        <v>270</v>
      </c>
      <c r="B31" s="180" t="s">
        <v>65</v>
      </c>
      <c r="C31" s="181" t="s">
        <v>12</v>
      </c>
      <c r="D31" s="182">
        <v>22500</v>
      </c>
      <c r="E31" s="181" t="s">
        <v>46</v>
      </c>
      <c r="F31" s="183" t="s">
        <v>64</v>
      </c>
      <c r="G31" s="181"/>
      <c r="H31" s="184"/>
      <c r="I31" s="118">
        <v>0</v>
      </c>
      <c r="J31" s="119">
        <v>22500</v>
      </c>
    </row>
    <row r="32" spans="1:10" ht="21.95" customHeight="1" outlineLevel="2" x14ac:dyDescent="0.25">
      <c r="A32" s="173" t="s">
        <v>270</v>
      </c>
      <c r="B32" s="174" t="s">
        <v>66</v>
      </c>
      <c r="C32" s="175" t="s">
        <v>12</v>
      </c>
      <c r="D32" s="176">
        <v>45000</v>
      </c>
      <c r="E32" s="175" t="s">
        <v>67</v>
      </c>
      <c r="F32" s="177" t="s">
        <v>64</v>
      </c>
      <c r="G32" s="175"/>
      <c r="H32" s="178"/>
      <c r="I32" s="118">
        <v>0</v>
      </c>
      <c r="J32" s="119">
        <v>45000</v>
      </c>
    </row>
    <row r="33" spans="1:10" ht="21.95" customHeight="1" outlineLevel="2" x14ac:dyDescent="0.25">
      <c r="A33" s="179" t="s">
        <v>270</v>
      </c>
      <c r="B33" s="180" t="s">
        <v>68</v>
      </c>
      <c r="C33" s="181" t="s">
        <v>12</v>
      </c>
      <c r="D33" s="182">
        <v>11500</v>
      </c>
      <c r="E33" s="181" t="s">
        <v>26</v>
      </c>
      <c r="F33" s="183" t="s">
        <v>64</v>
      </c>
      <c r="G33" s="181"/>
      <c r="H33" s="184"/>
      <c r="I33" s="118">
        <v>0</v>
      </c>
      <c r="J33" s="119">
        <v>11500</v>
      </c>
    </row>
    <row r="34" spans="1:10" ht="21.95" customHeight="1" outlineLevel="1" x14ac:dyDescent="0.25">
      <c r="A34" s="185"/>
      <c r="B34" s="186"/>
      <c r="C34" s="187"/>
      <c r="D34" s="188">
        <f>SUBTOTAL(9,D30:D33)</f>
        <v>106500</v>
      </c>
      <c r="E34" s="187"/>
      <c r="F34" s="189" t="s">
        <v>332</v>
      </c>
      <c r="G34" s="187"/>
      <c r="H34" s="190"/>
      <c r="I34" s="118"/>
      <c r="J34" s="119"/>
    </row>
    <row r="35" spans="1:10" ht="21.95" customHeight="1" x14ac:dyDescent="0.25">
      <c r="A35" s="191"/>
      <c r="B35" s="192"/>
      <c r="C35" s="193"/>
      <c r="D35" s="194">
        <f>SUBTOTAL(9,D2:D33)</f>
        <v>839600</v>
      </c>
      <c r="E35" s="193"/>
      <c r="F35" s="195" t="s">
        <v>69</v>
      </c>
      <c r="G35" s="193"/>
      <c r="H35" s="196"/>
      <c r="I35" s="118"/>
      <c r="J35" s="119"/>
    </row>
    <row r="36" spans="1:10" x14ac:dyDescent="0.25">
      <c r="J36" s="15"/>
    </row>
  </sheetData>
  <autoFilter ref="B1:N1" xr:uid="{00000000-0009-0000-0000-000000000000}"/>
  <sortState xmlns:xlrd2="http://schemas.microsoft.com/office/spreadsheetml/2017/richdata2" ref="A2:H33">
    <sortCondition ref="F2:F33"/>
  </sortState>
  <conditionalFormatting sqref="H2:H35">
    <cfRule type="expression" dxfId="7" priority="4" stopIfTrue="1">
      <formula>$H2&gt;=$C2</formula>
    </cfRule>
    <cfRule type="expression" dxfId="6" priority="5" stopIfTrue="1">
      <formula>AND($H2&gt;0, $H2&lt;$C2)</formula>
    </cfRule>
  </conditionalFormatting>
  <conditionalFormatting sqref="I2:I35">
    <cfRule type="expression" dxfId="5" priority="6" stopIfTrue="1">
      <formula>$I2&gt;=$D2</formula>
    </cfRule>
    <cfRule type="expression" dxfId="4" priority="7" stopIfTrue="1">
      <formula>AND($I2&gt;0, $I2&lt;$D2)</formula>
    </cfRule>
  </conditionalFormatting>
  <conditionalFormatting sqref="J2:J35">
    <cfRule type="expression" dxfId="3" priority="8" stopIfTrue="1">
      <formula>$J2&gt;0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Z1007"/>
  <sheetViews>
    <sheetView topLeftCell="A10" zoomScale="85" zoomScaleNormal="85" workbookViewId="0">
      <selection activeCell="M44" sqref="L44:M44"/>
    </sheetView>
  </sheetViews>
  <sheetFormatPr defaultColWidth="11.42578125" defaultRowHeight="15" x14ac:dyDescent="0.25"/>
  <cols>
    <col min="1" max="1" width="30.28515625" bestFit="1" customWidth="1"/>
    <col min="2" max="2" width="24" bestFit="1" customWidth="1"/>
    <col min="3" max="3" width="21.42578125" style="3" bestFit="1" customWidth="1"/>
    <col min="4" max="4" width="24.42578125" style="3" bestFit="1" customWidth="1"/>
    <col min="5" max="5" width="23.42578125" style="3" bestFit="1" customWidth="1"/>
    <col min="6" max="6" width="26" style="3" bestFit="1" customWidth="1"/>
    <col min="7" max="7" width="14.42578125" style="3" bestFit="1" customWidth="1"/>
    <col min="8" max="8" width="18.140625" style="3" bestFit="1" customWidth="1"/>
    <col min="9" max="9" width="13.85546875" style="3" bestFit="1" customWidth="1"/>
    <col min="10" max="10" width="14.42578125" style="3" bestFit="1" customWidth="1"/>
    <col min="11" max="11" width="21.140625" bestFit="1" customWidth="1"/>
    <col min="12" max="12" width="18.140625" bestFit="1" customWidth="1"/>
    <col min="13" max="13" width="7.28515625" bestFit="1" customWidth="1"/>
    <col min="14" max="14" width="14.28515625" bestFit="1" customWidth="1"/>
    <col min="15" max="15" width="16" bestFit="1" customWidth="1"/>
    <col min="16" max="16" width="11.42578125" bestFit="1" customWidth="1"/>
    <col min="17" max="17" width="7.28515625" bestFit="1" customWidth="1"/>
    <col min="18" max="18" width="14.42578125" bestFit="1" customWidth="1"/>
    <col min="19" max="19" width="16.7109375" bestFit="1" customWidth="1"/>
    <col min="20" max="20" width="11.42578125" bestFit="1" customWidth="1"/>
    <col min="21" max="21" width="7.28515625" bestFit="1" customWidth="1"/>
    <col min="22" max="22" width="14.42578125" bestFit="1" customWidth="1"/>
    <col min="23" max="23" width="17.7109375" bestFit="1" customWidth="1"/>
    <col min="24" max="24" width="11.42578125" bestFit="1" customWidth="1"/>
    <col min="25" max="25" width="7.28515625" bestFit="1" customWidth="1"/>
    <col min="26" max="26" width="14.28515625" bestFit="1" customWidth="1"/>
    <col min="27" max="27" width="17.28515625" bestFit="1" customWidth="1"/>
    <col min="28" max="28" width="11.42578125" bestFit="1" customWidth="1"/>
    <col min="29" max="29" width="7.28515625" bestFit="1" customWidth="1"/>
    <col min="30" max="30" width="14.42578125" bestFit="1" customWidth="1"/>
    <col min="31" max="31" width="18.28515625" bestFit="1" customWidth="1"/>
    <col min="32" max="32" width="11.42578125" bestFit="1" customWidth="1"/>
    <col min="33" max="33" width="7.28515625" bestFit="1" customWidth="1"/>
    <col min="34" max="34" width="14.42578125" bestFit="1" customWidth="1"/>
    <col min="35" max="35" width="23.140625" bestFit="1" customWidth="1"/>
    <col min="36" max="36" width="11.42578125" bestFit="1" customWidth="1"/>
    <col min="37" max="37" width="7.28515625" bestFit="1" customWidth="1"/>
    <col min="38" max="38" width="14.42578125" bestFit="1" customWidth="1"/>
    <col min="39" max="39" width="13.140625" bestFit="1" customWidth="1"/>
    <col min="40" max="40" width="14.85546875" bestFit="1" customWidth="1"/>
    <col min="41" max="41" width="11.42578125" bestFit="1" customWidth="1"/>
    <col min="42" max="42" width="7.28515625" bestFit="1" customWidth="1"/>
    <col min="43" max="43" width="12.140625" bestFit="1" customWidth="1"/>
    <col min="44" max="44" width="11.42578125" bestFit="1" customWidth="1"/>
  </cols>
  <sheetData>
    <row r="1" spans="1:52" s="1" customFormat="1" ht="27.95" customHeight="1" x14ac:dyDescent="0.25">
      <c r="A1" s="30" t="s">
        <v>72</v>
      </c>
      <c r="B1" s="30" t="s">
        <v>76</v>
      </c>
      <c r="C1" s="30" t="s">
        <v>216</v>
      </c>
      <c r="D1" s="31" t="s">
        <v>70</v>
      </c>
      <c r="E1" s="36" t="s">
        <v>273</v>
      </c>
      <c r="F1" s="32" t="s">
        <v>70</v>
      </c>
      <c r="G1" s="30" t="s">
        <v>245</v>
      </c>
      <c r="H1" s="31" t="s">
        <v>73</v>
      </c>
      <c r="I1" s="36" t="s">
        <v>185</v>
      </c>
      <c r="J1" s="32" t="s">
        <v>70</v>
      </c>
      <c r="K1" s="30" t="s">
        <v>360</v>
      </c>
      <c r="L1" s="31" t="s">
        <v>73</v>
      </c>
      <c r="M1" s="36" t="s">
        <v>185</v>
      </c>
      <c r="N1" s="32" t="s">
        <v>70</v>
      </c>
      <c r="O1" s="30" t="s">
        <v>77</v>
      </c>
      <c r="P1" s="31" t="s">
        <v>73</v>
      </c>
      <c r="Q1" s="36" t="s">
        <v>185</v>
      </c>
      <c r="R1" s="32" t="s">
        <v>70</v>
      </c>
      <c r="S1" s="30" t="s">
        <v>220</v>
      </c>
      <c r="T1" s="31" t="s">
        <v>73</v>
      </c>
      <c r="U1" s="36" t="s">
        <v>185</v>
      </c>
      <c r="V1" s="32" t="s">
        <v>70</v>
      </c>
      <c r="W1" s="30" t="s">
        <v>78</v>
      </c>
      <c r="X1" s="31" t="s">
        <v>73</v>
      </c>
      <c r="Y1" s="36" t="s">
        <v>185</v>
      </c>
      <c r="Z1" s="32" t="s">
        <v>70</v>
      </c>
      <c r="AA1" s="33" t="s">
        <v>79</v>
      </c>
      <c r="AB1" s="33" t="s">
        <v>73</v>
      </c>
      <c r="AC1" s="36" t="s">
        <v>185</v>
      </c>
      <c r="AD1" s="33" t="s">
        <v>70</v>
      </c>
      <c r="AE1" s="30" t="s">
        <v>230</v>
      </c>
      <c r="AF1" s="31" t="s">
        <v>73</v>
      </c>
      <c r="AG1" s="36" t="s">
        <v>185</v>
      </c>
      <c r="AH1" s="32" t="s">
        <v>70</v>
      </c>
      <c r="AI1" s="30" t="s">
        <v>80</v>
      </c>
      <c r="AJ1" s="31" t="s">
        <v>73</v>
      </c>
      <c r="AK1" s="36" t="s">
        <v>185</v>
      </c>
      <c r="AL1" s="32" t="s">
        <v>70</v>
      </c>
      <c r="AM1" s="30" t="s">
        <v>201</v>
      </c>
      <c r="AN1" s="30" t="s">
        <v>81</v>
      </c>
      <c r="AO1" s="31" t="s">
        <v>73</v>
      </c>
      <c r="AP1" s="36" t="s">
        <v>185</v>
      </c>
      <c r="AQ1" s="34" t="s">
        <v>82</v>
      </c>
      <c r="AR1" s="36" t="s">
        <v>73</v>
      </c>
    </row>
    <row r="2" spans="1:52" s="1" customFormat="1" x14ac:dyDescent="0.25">
      <c r="A2" s="35" t="s">
        <v>474</v>
      </c>
      <c r="B2" s="35"/>
      <c r="C2" s="35"/>
      <c r="D2" s="35"/>
      <c r="E2" s="37"/>
      <c r="F2" s="35"/>
      <c r="G2" s="35"/>
      <c r="H2" s="35"/>
      <c r="I2" s="37"/>
      <c r="J2" s="35"/>
      <c r="K2" s="35"/>
      <c r="L2" s="35"/>
      <c r="M2" s="37"/>
      <c r="N2" s="35"/>
      <c r="O2" s="35"/>
      <c r="P2" s="35"/>
      <c r="Q2" s="37"/>
      <c r="R2" s="35"/>
      <c r="S2" s="35"/>
      <c r="T2" s="35"/>
      <c r="U2" s="37"/>
      <c r="V2" s="35"/>
      <c r="W2" s="35"/>
      <c r="X2" s="35"/>
      <c r="Y2" s="37"/>
      <c r="Z2" s="35"/>
      <c r="AA2" s="35"/>
      <c r="AB2" s="35"/>
      <c r="AC2" s="37"/>
      <c r="AD2" s="35"/>
      <c r="AE2" s="35"/>
      <c r="AF2" s="35"/>
      <c r="AG2" s="37"/>
      <c r="AH2" s="35"/>
      <c r="AI2" s="35"/>
      <c r="AJ2" s="35"/>
      <c r="AK2" s="37"/>
      <c r="AL2" s="35"/>
      <c r="AM2" s="35"/>
      <c r="AN2" s="35"/>
      <c r="AO2" s="35"/>
      <c r="AP2" s="37"/>
      <c r="AQ2" s="35"/>
      <c r="AR2" s="37"/>
      <c r="AS2"/>
      <c r="AT2"/>
      <c r="AU2"/>
      <c r="AV2"/>
      <c r="AW2"/>
      <c r="AX2"/>
      <c r="AY2"/>
      <c r="AZ2"/>
    </row>
    <row r="3" spans="1:52" x14ac:dyDescent="0.25">
      <c r="A3" t="s">
        <v>128</v>
      </c>
      <c r="B3" s="6">
        <v>23000</v>
      </c>
      <c r="C3"/>
      <c r="D3" s="14">
        <v>46300</v>
      </c>
      <c r="E3" s="38" t="s">
        <v>185</v>
      </c>
      <c r="F3" s="14"/>
      <c r="G3"/>
      <c r="H3" s="6"/>
      <c r="I3" s="38"/>
      <c r="J3" s="14">
        <v>46309</v>
      </c>
      <c r="K3" t="s">
        <v>84</v>
      </c>
      <c r="L3" s="6">
        <v>54650</v>
      </c>
      <c r="M3" s="38" t="s">
        <v>185</v>
      </c>
      <c r="N3" s="14">
        <v>46309</v>
      </c>
      <c r="O3" t="s">
        <v>85</v>
      </c>
      <c r="P3" s="6">
        <v>4380</v>
      </c>
      <c r="Q3" s="38" t="s">
        <v>185</v>
      </c>
      <c r="R3" s="14">
        <v>46298</v>
      </c>
      <c r="S3" t="s">
        <v>221</v>
      </c>
      <c r="T3" s="6">
        <v>38800</v>
      </c>
      <c r="U3" s="38" t="s">
        <v>185</v>
      </c>
      <c r="V3" s="14">
        <v>46298</v>
      </c>
      <c r="W3" t="s">
        <v>333</v>
      </c>
      <c r="X3" s="6">
        <v>15000</v>
      </c>
      <c r="Y3" s="38" t="s">
        <v>185</v>
      </c>
      <c r="Z3" s="14">
        <v>46308</v>
      </c>
      <c r="AA3" t="s">
        <v>186</v>
      </c>
      <c r="AB3" s="6">
        <v>3000</v>
      </c>
      <c r="AC3" s="38" t="s">
        <v>185</v>
      </c>
      <c r="AD3" s="14"/>
      <c r="AE3" t="s">
        <v>85</v>
      </c>
      <c r="AF3" s="6"/>
      <c r="AG3" s="38"/>
      <c r="AH3" s="14"/>
      <c r="AI3" t="s">
        <v>86</v>
      </c>
      <c r="AJ3" s="6"/>
      <c r="AK3" s="38"/>
      <c r="AL3" s="14"/>
      <c r="AN3" t="s">
        <v>87</v>
      </c>
      <c r="AO3" s="6"/>
      <c r="AP3" s="38"/>
      <c r="AQ3" t="s">
        <v>88</v>
      </c>
      <c r="AR3" s="40"/>
    </row>
    <row r="4" spans="1:52" x14ac:dyDescent="0.25">
      <c r="A4" t="s">
        <v>83</v>
      </c>
      <c r="B4" s="6">
        <v>9500</v>
      </c>
      <c r="C4"/>
      <c r="D4" s="14">
        <v>46301</v>
      </c>
      <c r="E4" s="38" t="s">
        <v>185</v>
      </c>
      <c r="F4" s="14"/>
      <c r="G4"/>
      <c r="H4" s="6"/>
      <c r="I4" s="38"/>
      <c r="J4" s="14">
        <v>46309</v>
      </c>
      <c r="K4" t="s">
        <v>91</v>
      </c>
      <c r="L4" s="6">
        <v>76780</v>
      </c>
      <c r="M4" s="38" t="s">
        <v>185</v>
      </c>
      <c r="N4" s="14">
        <v>46309</v>
      </c>
      <c r="O4" t="s">
        <v>92</v>
      </c>
      <c r="P4" s="6">
        <v>16250</v>
      </c>
      <c r="Q4" s="38" t="s">
        <v>185</v>
      </c>
      <c r="R4" s="14">
        <v>46305</v>
      </c>
      <c r="S4" t="s">
        <v>221</v>
      </c>
      <c r="T4" s="6">
        <v>33500</v>
      </c>
      <c r="U4" s="38" t="s">
        <v>185</v>
      </c>
      <c r="V4" s="14"/>
      <c r="W4" t="s">
        <v>333</v>
      </c>
      <c r="X4" s="6"/>
      <c r="Y4" s="38"/>
      <c r="Z4" s="14"/>
      <c r="AA4" t="s">
        <v>307</v>
      </c>
      <c r="AB4" s="6"/>
      <c r="AC4" s="38"/>
      <c r="AD4" s="14"/>
      <c r="AE4" t="s">
        <v>93</v>
      </c>
      <c r="AF4" s="6"/>
      <c r="AG4" s="38"/>
      <c r="AH4" s="14"/>
      <c r="AI4" t="s">
        <v>94</v>
      </c>
      <c r="AJ4" s="6"/>
      <c r="AK4" s="38"/>
      <c r="AL4" s="14"/>
      <c r="AN4" t="s">
        <v>95</v>
      </c>
      <c r="AO4" s="6"/>
      <c r="AP4" s="38"/>
      <c r="AQ4" t="s">
        <v>96</v>
      </c>
      <c r="AR4" s="40"/>
    </row>
    <row r="5" spans="1:52" x14ac:dyDescent="0.25">
      <c r="A5" t="s">
        <v>89</v>
      </c>
      <c r="B5" s="6">
        <v>10500</v>
      </c>
      <c r="C5" t="s">
        <v>90</v>
      </c>
      <c r="D5" s="14">
        <v>46300</v>
      </c>
      <c r="E5" s="38" t="s">
        <v>185</v>
      </c>
      <c r="F5" s="14"/>
      <c r="G5"/>
      <c r="H5" s="6"/>
      <c r="I5" s="38"/>
      <c r="J5" s="14">
        <v>46309</v>
      </c>
      <c r="K5" t="s">
        <v>98</v>
      </c>
      <c r="L5" s="6">
        <v>12570</v>
      </c>
      <c r="M5" s="38" t="s">
        <v>185</v>
      </c>
      <c r="N5" s="14">
        <v>46309</v>
      </c>
      <c r="O5" t="s">
        <v>99</v>
      </c>
      <c r="P5" s="6">
        <v>17140</v>
      </c>
      <c r="Q5" s="38" t="s">
        <v>185</v>
      </c>
      <c r="R5" s="14">
        <v>46312</v>
      </c>
      <c r="S5" t="s">
        <v>221</v>
      </c>
      <c r="T5" s="6">
        <v>36500</v>
      </c>
      <c r="U5" s="38" t="s">
        <v>185</v>
      </c>
      <c r="V5" s="14"/>
      <c r="W5" t="s">
        <v>333</v>
      </c>
      <c r="X5" s="6"/>
      <c r="Y5" s="38"/>
      <c r="Z5" s="14"/>
      <c r="AB5" s="6"/>
      <c r="AC5" s="38"/>
      <c r="AD5" s="14"/>
      <c r="AE5" t="s">
        <v>100</v>
      </c>
      <c r="AF5" s="6"/>
      <c r="AG5" s="38"/>
      <c r="AH5" s="14">
        <v>46318</v>
      </c>
      <c r="AI5" t="s">
        <v>101</v>
      </c>
      <c r="AJ5" s="6">
        <v>2200</v>
      </c>
      <c r="AK5" s="38" t="s">
        <v>185</v>
      </c>
      <c r="AL5" s="14"/>
      <c r="AM5" t="s">
        <v>12</v>
      </c>
      <c r="AN5" t="s">
        <v>202</v>
      </c>
      <c r="AO5" s="6"/>
      <c r="AP5" s="38"/>
      <c r="AQ5" t="s">
        <v>102</v>
      </c>
      <c r="AR5" s="40"/>
    </row>
    <row r="6" spans="1:52" x14ac:dyDescent="0.25">
      <c r="A6" t="s">
        <v>97</v>
      </c>
      <c r="B6" s="6">
        <v>10500</v>
      </c>
      <c r="C6"/>
      <c r="D6" s="14">
        <v>46300</v>
      </c>
      <c r="E6" s="38" t="s">
        <v>185</v>
      </c>
      <c r="F6" s="14"/>
      <c r="G6"/>
      <c r="H6" s="6"/>
      <c r="I6" s="38"/>
      <c r="J6" s="14">
        <v>46309</v>
      </c>
      <c r="K6" t="s">
        <v>103</v>
      </c>
      <c r="L6" s="6">
        <v>50850</v>
      </c>
      <c r="M6" s="38" t="s">
        <v>185</v>
      </c>
      <c r="N6" s="14">
        <v>46309</v>
      </c>
      <c r="O6" t="s">
        <v>104</v>
      </c>
      <c r="P6" s="6">
        <v>7830</v>
      </c>
      <c r="Q6" s="38" t="s">
        <v>185</v>
      </c>
      <c r="R6" s="14"/>
      <c r="S6" t="s">
        <v>221</v>
      </c>
      <c r="T6" s="6"/>
      <c r="U6" s="38"/>
      <c r="V6" s="14"/>
      <c r="W6" t="s">
        <v>333</v>
      </c>
      <c r="X6" s="6"/>
      <c r="Y6" s="38"/>
      <c r="Z6" s="14"/>
      <c r="AB6" s="6"/>
      <c r="AC6" s="38"/>
      <c r="AD6" s="14"/>
      <c r="AE6" t="s">
        <v>103</v>
      </c>
      <c r="AF6" s="6"/>
      <c r="AG6" s="38"/>
      <c r="AH6" s="14"/>
      <c r="AI6" t="s">
        <v>242</v>
      </c>
      <c r="AJ6" s="6"/>
      <c r="AK6" s="38"/>
      <c r="AL6" s="14"/>
      <c r="AN6" t="s">
        <v>309</v>
      </c>
      <c r="AO6" s="6"/>
      <c r="AP6" s="38"/>
      <c r="AQ6" t="s">
        <v>105</v>
      </c>
      <c r="AR6" s="40"/>
    </row>
    <row r="7" spans="1:52" x14ac:dyDescent="0.25">
      <c r="A7" t="s">
        <v>106</v>
      </c>
      <c r="B7" s="6">
        <v>8500</v>
      </c>
      <c r="C7" t="s">
        <v>107</v>
      </c>
      <c r="D7" s="14">
        <v>46308</v>
      </c>
      <c r="E7" s="38" t="s">
        <v>185</v>
      </c>
      <c r="F7" s="14"/>
      <c r="G7"/>
      <c r="H7" s="6"/>
      <c r="I7" s="38"/>
      <c r="J7" s="14"/>
      <c r="K7" t="s">
        <v>108</v>
      </c>
      <c r="L7" s="6"/>
      <c r="M7" s="38"/>
      <c r="N7" s="14"/>
      <c r="P7" s="6"/>
      <c r="Q7" s="38"/>
      <c r="R7" s="14"/>
      <c r="T7" s="6"/>
      <c r="U7" s="38"/>
      <c r="V7" s="14"/>
      <c r="X7" s="6"/>
      <c r="Y7" s="38"/>
      <c r="Z7" s="14"/>
      <c r="AB7" s="6"/>
      <c r="AC7" s="38"/>
      <c r="AD7" s="14"/>
      <c r="AE7" t="s">
        <v>347</v>
      </c>
      <c r="AF7" s="6"/>
      <c r="AG7" s="38"/>
      <c r="AH7" s="14"/>
      <c r="AI7" t="s">
        <v>265</v>
      </c>
      <c r="AJ7" s="6"/>
      <c r="AK7" s="38"/>
      <c r="AL7" s="14"/>
      <c r="AN7" t="s">
        <v>310</v>
      </c>
      <c r="AO7" s="6"/>
      <c r="AP7" s="38"/>
      <c r="AQ7" t="s">
        <v>112</v>
      </c>
      <c r="AR7" s="40"/>
    </row>
    <row r="8" spans="1:52" x14ac:dyDescent="0.25">
      <c r="A8" t="s">
        <v>110</v>
      </c>
      <c r="B8" s="6">
        <v>3000</v>
      </c>
      <c r="C8"/>
      <c r="D8" s="14">
        <v>46309</v>
      </c>
      <c r="E8" s="38" t="s">
        <v>185</v>
      </c>
      <c r="F8" s="14"/>
      <c r="G8"/>
      <c r="H8" s="6"/>
      <c r="I8" s="38"/>
      <c r="J8" s="14"/>
      <c r="L8" s="6"/>
      <c r="M8" s="38"/>
      <c r="N8" s="14"/>
      <c r="P8" s="6"/>
      <c r="Q8" s="38"/>
      <c r="R8" s="14"/>
      <c r="T8" s="6"/>
      <c r="U8" s="38"/>
      <c r="V8" s="14"/>
      <c r="X8" s="6"/>
      <c r="Y8" s="38"/>
      <c r="Z8" s="14"/>
      <c r="AB8" s="6"/>
      <c r="AC8" s="38"/>
      <c r="AD8" s="14">
        <v>46310</v>
      </c>
      <c r="AE8" t="s">
        <v>473</v>
      </c>
      <c r="AF8" s="6">
        <v>1500</v>
      </c>
      <c r="AG8" s="38" t="s">
        <v>185</v>
      </c>
      <c r="AH8" s="14"/>
      <c r="AI8" t="s">
        <v>242</v>
      </c>
      <c r="AJ8" s="6"/>
      <c r="AK8" s="38"/>
      <c r="AL8" s="14"/>
      <c r="AN8" t="s">
        <v>312</v>
      </c>
      <c r="AO8" s="6"/>
      <c r="AP8" s="38"/>
      <c r="AR8" s="40"/>
    </row>
    <row r="9" spans="1:52" x14ac:dyDescent="0.25">
      <c r="A9" t="s">
        <v>113</v>
      </c>
      <c r="B9" s="6">
        <v>14000</v>
      </c>
      <c r="C9"/>
      <c r="D9" s="14">
        <v>46307</v>
      </c>
      <c r="E9" s="38" t="s">
        <v>185</v>
      </c>
      <c r="F9" s="14"/>
      <c r="G9"/>
      <c r="H9" s="6"/>
      <c r="I9" s="38"/>
      <c r="J9" s="14"/>
      <c r="L9" s="6"/>
      <c r="M9" s="38"/>
      <c r="N9" s="14"/>
      <c r="P9" s="6"/>
      <c r="Q9" s="38"/>
      <c r="R9" s="14"/>
      <c r="T9" s="6"/>
      <c r="U9" s="38"/>
      <c r="V9" s="14"/>
      <c r="X9" s="6"/>
      <c r="Y9" s="38"/>
      <c r="Z9" s="14"/>
      <c r="AB9" s="6"/>
      <c r="AC9" s="38"/>
      <c r="AD9" s="14">
        <v>46322</v>
      </c>
      <c r="AE9" t="s">
        <v>473</v>
      </c>
      <c r="AF9" s="6">
        <v>1500</v>
      </c>
      <c r="AG9" s="38" t="s">
        <v>185</v>
      </c>
      <c r="AH9" s="14"/>
      <c r="AI9" t="s">
        <v>334</v>
      </c>
      <c r="AJ9" s="6"/>
      <c r="AK9" s="38"/>
      <c r="AL9" s="14"/>
      <c r="AO9" s="6"/>
      <c r="AP9" s="38"/>
      <c r="AR9" s="40"/>
    </row>
    <row r="10" spans="1:52" x14ac:dyDescent="0.25">
      <c r="A10" t="s">
        <v>114</v>
      </c>
      <c r="B10" s="6">
        <v>13000</v>
      </c>
      <c r="C10" t="s">
        <v>115</v>
      </c>
      <c r="D10" s="14">
        <v>46307</v>
      </c>
      <c r="E10" s="38" t="s">
        <v>185</v>
      </c>
      <c r="F10" s="14"/>
      <c r="G10"/>
      <c r="H10" s="6"/>
      <c r="I10" s="38"/>
      <c r="J10" s="14"/>
      <c r="L10" s="6"/>
      <c r="M10" s="38"/>
      <c r="N10" s="14"/>
      <c r="P10" s="6"/>
      <c r="Q10" s="38"/>
      <c r="R10" s="14"/>
      <c r="T10" s="6"/>
      <c r="U10" s="38"/>
      <c r="V10" s="14"/>
      <c r="X10" s="6"/>
      <c r="Y10" s="38"/>
      <c r="Z10" s="14"/>
      <c r="AB10" s="6"/>
      <c r="AC10" s="38"/>
      <c r="AD10" s="14"/>
      <c r="AF10" s="6"/>
      <c r="AG10" s="38"/>
      <c r="AH10" s="14"/>
      <c r="AI10" t="s">
        <v>468</v>
      </c>
      <c r="AJ10" s="6"/>
      <c r="AK10" s="38"/>
      <c r="AL10" s="14"/>
      <c r="AO10" s="6"/>
      <c r="AP10" s="38"/>
      <c r="AR10" s="40"/>
    </row>
    <row r="11" spans="1:52" x14ac:dyDescent="0.25">
      <c r="A11" t="s">
        <v>116</v>
      </c>
      <c r="B11" s="6">
        <v>10500</v>
      </c>
      <c r="C11"/>
      <c r="D11" s="14">
        <v>46300</v>
      </c>
      <c r="E11" s="38" t="s">
        <v>185</v>
      </c>
      <c r="F11" s="14"/>
      <c r="G11"/>
      <c r="H11" s="6"/>
      <c r="I11" s="38"/>
      <c r="J11" s="14"/>
      <c r="L11" s="6"/>
      <c r="M11" s="38"/>
      <c r="N11" s="14"/>
      <c r="P11" s="6"/>
      <c r="Q11" s="38"/>
      <c r="R11" s="14"/>
      <c r="T11" s="6"/>
      <c r="U11" s="38"/>
      <c r="V11" s="14"/>
      <c r="X11" s="6"/>
      <c r="Y11" s="38"/>
      <c r="Z11" s="14"/>
      <c r="AB11" s="6"/>
      <c r="AC11" s="38"/>
      <c r="AD11" s="14"/>
      <c r="AF11" s="6"/>
      <c r="AG11" s="38"/>
      <c r="AH11" s="14"/>
      <c r="AJ11" s="6"/>
      <c r="AK11" s="38"/>
      <c r="AL11" s="14"/>
      <c r="AO11" s="6"/>
      <c r="AP11" s="38"/>
      <c r="AR11" s="40"/>
    </row>
    <row r="12" spans="1:52" x14ac:dyDescent="0.25">
      <c r="A12" t="s">
        <v>117</v>
      </c>
      <c r="B12" s="6">
        <v>10500</v>
      </c>
      <c r="C12" t="s">
        <v>8</v>
      </c>
      <c r="D12" s="14">
        <v>46308</v>
      </c>
      <c r="E12" s="38" t="s">
        <v>185</v>
      </c>
      <c r="F12" s="14"/>
      <c r="G12"/>
      <c r="H12" s="6"/>
      <c r="I12" s="38"/>
      <c r="J12" s="14"/>
      <c r="L12" s="6"/>
      <c r="M12" s="38"/>
      <c r="N12" s="14"/>
      <c r="P12" s="6"/>
      <c r="Q12" s="38"/>
      <c r="R12" s="14"/>
      <c r="T12" s="6"/>
      <c r="U12" s="38"/>
      <c r="V12" s="14"/>
      <c r="X12" s="6"/>
      <c r="Y12" s="38"/>
      <c r="Z12" s="14"/>
      <c r="AB12" s="6"/>
      <c r="AC12" s="38"/>
      <c r="AD12" s="14"/>
      <c r="AF12" s="6"/>
      <c r="AG12" s="38"/>
      <c r="AH12" s="14"/>
      <c r="AJ12" s="6"/>
      <c r="AK12" s="38"/>
      <c r="AL12" s="14"/>
      <c r="AO12" s="6"/>
      <c r="AP12" s="38"/>
      <c r="AR12" s="40"/>
    </row>
    <row r="13" spans="1:52" x14ac:dyDescent="0.25">
      <c r="A13" t="s">
        <v>118</v>
      </c>
      <c r="B13" s="6">
        <v>9000</v>
      </c>
      <c r="C13"/>
      <c r="D13" s="14">
        <v>46307</v>
      </c>
      <c r="E13" s="38" t="s">
        <v>185</v>
      </c>
      <c r="F13" s="14"/>
      <c r="G13"/>
      <c r="H13" s="6"/>
      <c r="I13" s="38"/>
      <c r="J13" s="14"/>
      <c r="L13" s="6"/>
      <c r="M13" s="38"/>
      <c r="N13" s="14"/>
      <c r="P13" s="6"/>
      <c r="Q13" s="38"/>
      <c r="R13" s="14"/>
      <c r="T13" s="6"/>
      <c r="U13" s="38"/>
      <c r="V13" s="14"/>
      <c r="X13" s="6"/>
      <c r="Y13" s="38"/>
      <c r="Z13" s="14"/>
      <c r="AB13" s="6"/>
      <c r="AC13" s="38"/>
      <c r="AD13" s="14"/>
      <c r="AF13" s="6"/>
      <c r="AG13" s="38"/>
      <c r="AH13" s="14"/>
      <c r="AJ13" s="6"/>
      <c r="AK13" s="38"/>
      <c r="AL13" s="14"/>
      <c r="AO13" s="6"/>
      <c r="AP13" s="38"/>
      <c r="AR13" s="40"/>
    </row>
    <row r="14" spans="1:52" x14ac:dyDescent="0.25">
      <c r="A14" t="s">
        <v>119</v>
      </c>
      <c r="B14" s="6">
        <v>8750</v>
      </c>
      <c r="C14">
        <v>56</v>
      </c>
      <c r="D14" s="14">
        <v>46307</v>
      </c>
      <c r="E14" s="38" t="s">
        <v>185</v>
      </c>
      <c r="F14" s="14"/>
      <c r="G14"/>
      <c r="H14" s="6"/>
      <c r="I14" s="38"/>
      <c r="J14" s="14"/>
      <c r="L14" s="6"/>
      <c r="M14" s="38"/>
      <c r="N14" s="14"/>
      <c r="P14" s="6"/>
      <c r="Q14" s="38"/>
      <c r="R14" s="14"/>
      <c r="T14" s="6"/>
      <c r="U14" s="38"/>
      <c r="V14" s="14"/>
      <c r="X14" s="6"/>
      <c r="Y14" s="38"/>
      <c r="Z14" s="14"/>
      <c r="AB14" s="6"/>
      <c r="AC14" s="38"/>
      <c r="AD14" s="14"/>
      <c r="AF14" s="6"/>
      <c r="AG14" s="38"/>
      <c r="AH14" s="14"/>
      <c r="AJ14" s="6"/>
      <c r="AK14" s="38"/>
      <c r="AL14" s="14"/>
      <c r="AO14" s="6"/>
      <c r="AP14" s="38"/>
      <c r="AR14" s="40"/>
    </row>
    <row r="15" spans="1:52" x14ac:dyDescent="0.25">
      <c r="A15" t="s">
        <v>120</v>
      </c>
      <c r="B15" s="6">
        <v>5000</v>
      </c>
      <c r="C15" t="s">
        <v>12</v>
      </c>
      <c r="D15" s="14">
        <v>46307</v>
      </c>
      <c r="E15" s="38" t="s">
        <v>185</v>
      </c>
      <c r="F15" s="14"/>
      <c r="G15"/>
      <c r="H15" s="6"/>
      <c r="I15" s="38"/>
      <c r="J15" s="14"/>
      <c r="L15" s="6"/>
      <c r="M15" s="38"/>
      <c r="N15" s="14"/>
      <c r="P15" s="6"/>
      <c r="Q15" s="38"/>
      <c r="R15" s="14"/>
      <c r="T15" s="6"/>
      <c r="U15" s="38"/>
      <c r="V15" s="14"/>
      <c r="X15" s="6"/>
      <c r="Y15" s="38"/>
      <c r="Z15" s="14"/>
      <c r="AB15" s="6"/>
      <c r="AC15" s="38"/>
      <c r="AD15" s="14"/>
      <c r="AF15" s="6"/>
      <c r="AG15" s="38"/>
      <c r="AH15" s="14"/>
      <c r="AJ15" s="6"/>
      <c r="AK15" s="38"/>
      <c r="AL15" s="14"/>
      <c r="AO15" s="6"/>
      <c r="AP15" s="38"/>
      <c r="AR15" s="40"/>
    </row>
    <row r="16" spans="1:52" x14ac:dyDescent="0.25">
      <c r="A16" t="s">
        <v>121</v>
      </c>
      <c r="B16" s="6">
        <v>10000</v>
      </c>
      <c r="C16" t="s">
        <v>12</v>
      </c>
      <c r="D16" s="14">
        <v>46307</v>
      </c>
      <c r="E16" s="38" t="s">
        <v>185</v>
      </c>
      <c r="F16" s="14"/>
      <c r="G16"/>
      <c r="H16" s="6"/>
      <c r="I16" s="38"/>
      <c r="J16" s="14"/>
      <c r="L16" s="6"/>
      <c r="M16" s="38"/>
      <c r="N16" s="14"/>
      <c r="P16" s="6"/>
      <c r="Q16" s="38"/>
      <c r="R16" s="14"/>
      <c r="T16" s="6"/>
      <c r="U16" s="38"/>
      <c r="V16" s="14"/>
      <c r="X16" s="6"/>
      <c r="Y16" s="38"/>
      <c r="Z16" s="14"/>
      <c r="AB16" s="6"/>
      <c r="AC16" s="38"/>
      <c r="AD16" s="14"/>
      <c r="AF16" s="6"/>
      <c r="AG16" s="38"/>
      <c r="AH16" s="14"/>
      <c r="AJ16" s="6"/>
      <c r="AK16" s="38"/>
      <c r="AL16" s="14"/>
      <c r="AO16" s="6"/>
      <c r="AP16" s="38"/>
      <c r="AR16" s="40"/>
    </row>
    <row r="17" spans="1:44" x14ac:dyDescent="0.25">
      <c r="A17" t="s">
        <v>122</v>
      </c>
      <c r="B17" s="6">
        <v>11000</v>
      </c>
      <c r="C17" t="s">
        <v>123</v>
      </c>
      <c r="D17" s="14">
        <v>46309</v>
      </c>
      <c r="E17" s="38" t="s">
        <v>185</v>
      </c>
      <c r="F17" s="14"/>
      <c r="G17"/>
      <c r="H17" s="6"/>
      <c r="I17" s="38"/>
      <c r="J17" s="14"/>
      <c r="L17" s="6"/>
      <c r="M17" s="38"/>
      <c r="N17" s="14"/>
      <c r="P17" s="6"/>
      <c r="Q17" s="38"/>
      <c r="R17" s="14"/>
      <c r="T17" s="6"/>
      <c r="U17" s="38"/>
      <c r="V17" s="14"/>
      <c r="X17" s="6"/>
      <c r="Y17" s="38"/>
      <c r="Z17" s="14"/>
      <c r="AB17" s="6"/>
      <c r="AC17" s="38"/>
      <c r="AD17" s="14"/>
      <c r="AF17" s="6"/>
      <c r="AG17" s="38"/>
      <c r="AH17" s="14"/>
      <c r="AJ17" s="6"/>
      <c r="AK17" s="38"/>
      <c r="AL17" s="14"/>
      <c r="AO17" s="6"/>
      <c r="AP17" s="38"/>
      <c r="AR17" s="40"/>
    </row>
    <row r="18" spans="1:44" x14ac:dyDescent="0.25">
      <c r="A18" t="s">
        <v>125</v>
      </c>
      <c r="B18" s="6">
        <v>11000</v>
      </c>
      <c r="C18" t="s">
        <v>123</v>
      </c>
      <c r="D18" s="14">
        <v>46309</v>
      </c>
      <c r="E18" s="38" t="s">
        <v>185</v>
      </c>
      <c r="F18" s="14"/>
      <c r="G18"/>
      <c r="H18" s="6"/>
      <c r="I18" s="38"/>
      <c r="J18" s="14"/>
      <c r="L18" s="6"/>
      <c r="M18" s="38"/>
      <c r="N18" s="14"/>
      <c r="P18" s="6"/>
      <c r="Q18" s="38"/>
      <c r="R18" s="14"/>
      <c r="T18" s="6"/>
      <c r="U18" s="38"/>
      <c r="V18" s="14"/>
      <c r="X18" s="6"/>
      <c r="Y18" s="38"/>
      <c r="Z18" s="14"/>
      <c r="AB18" s="6"/>
      <c r="AC18" s="38"/>
      <c r="AD18" s="14"/>
      <c r="AF18" s="6"/>
      <c r="AG18" s="38"/>
      <c r="AH18" s="14"/>
      <c r="AJ18" s="6"/>
      <c r="AK18" s="38"/>
      <c r="AL18" s="14"/>
      <c r="AO18" s="6"/>
      <c r="AP18" s="38"/>
      <c r="AR18" s="40"/>
    </row>
    <row r="19" spans="1:44" x14ac:dyDescent="0.25">
      <c r="A19" t="s">
        <v>260</v>
      </c>
      <c r="B19" s="6">
        <v>750</v>
      </c>
      <c r="C19"/>
      <c r="D19" s="14">
        <v>46318</v>
      </c>
      <c r="E19" s="38" t="s">
        <v>185</v>
      </c>
      <c r="F19" s="14"/>
      <c r="G19"/>
      <c r="H19" s="6"/>
      <c r="I19" s="38"/>
      <c r="J19" s="14"/>
      <c r="L19" s="6"/>
      <c r="M19" s="38"/>
      <c r="N19" s="14"/>
      <c r="P19" s="6"/>
      <c r="Q19" s="38"/>
      <c r="R19" s="14"/>
      <c r="T19" s="6"/>
      <c r="U19" s="38"/>
      <c r="V19" s="14"/>
      <c r="X19" s="6"/>
      <c r="Y19" s="38"/>
      <c r="Z19" s="14"/>
      <c r="AB19" s="6"/>
      <c r="AC19" s="38"/>
      <c r="AD19" s="14"/>
      <c r="AF19" s="6"/>
      <c r="AG19" s="38"/>
      <c r="AH19" s="14"/>
      <c r="AJ19" s="6"/>
      <c r="AK19" s="38"/>
      <c r="AL19" s="14"/>
      <c r="AO19" s="6"/>
      <c r="AP19" s="38"/>
      <c r="AR19" s="40"/>
    </row>
    <row r="20" spans="1:44" x14ac:dyDescent="0.25">
      <c r="A20" t="s">
        <v>127</v>
      </c>
      <c r="B20" s="6">
        <v>1600</v>
      </c>
      <c r="C20"/>
      <c r="D20" s="14">
        <v>46308</v>
      </c>
      <c r="E20" s="38" t="s">
        <v>185</v>
      </c>
      <c r="F20" s="14"/>
      <c r="G20"/>
      <c r="H20" s="6"/>
      <c r="I20" s="38"/>
      <c r="J20" s="14"/>
      <c r="L20" s="6"/>
      <c r="M20" s="38"/>
      <c r="N20" s="14"/>
      <c r="P20" s="6"/>
      <c r="Q20" s="38"/>
      <c r="R20" s="14"/>
      <c r="T20" s="6"/>
      <c r="U20" s="38"/>
      <c r="V20" s="14"/>
      <c r="X20" s="6"/>
      <c r="Y20" s="38"/>
      <c r="Z20" s="14"/>
      <c r="AB20" s="6"/>
      <c r="AC20" s="38"/>
      <c r="AD20" s="14"/>
      <c r="AF20" s="6"/>
      <c r="AG20" s="38"/>
      <c r="AH20" s="14"/>
      <c r="AJ20" s="6"/>
      <c r="AK20" s="38"/>
      <c r="AL20" s="14"/>
      <c r="AO20" s="6"/>
      <c r="AP20" s="38"/>
      <c r="AR20" s="40"/>
    </row>
    <row r="21" spans="1:44" x14ac:dyDescent="0.25">
      <c r="A21" t="s">
        <v>219</v>
      </c>
      <c r="B21" s="6">
        <v>2500</v>
      </c>
      <c r="C21" t="s">
        <v>249</v>
      </c>
      <c r="D21" s="14">
        <v>46298</v>
      </c>
      <c r="E21" s="38" t="s">
        <v>185</v>
      </c>
      <c r="F21" s="14"/>
      <c r="G21"/>
      <c r="H21" s="6"/>
      <c r="I21" s="38"/>
      <c r="J21" s="14"/>
      <c r="L21" s="6"/>
      <c r="M21" s="38"/>
      <c r="N21" s="14"/>
      <c r="P21" s="6"/>
      <c r="Q21" s="38"/>
      <c r="R21" s="14"/>
      <c r="T21" s="6"/>
      <c r="U21" s="38"/>
      <c r="V21" s="14"/>
      <c r="X21" s="6"/>
      <c r="Y21" s="38"/>
      <c r="Z21" s="14"/>
      <c r="AB21" s="6"/>
      <c r="AC21" s="38"/>
      <c r="AD21" s="14"/>
      <c r="AF21" s="6"/>
      <c r="AG21" s="38"/>
      <c r="AH21" s="14"/>
      <c r="AJ21" s="6"/>
      <c r="AK21" s="38"/>
      <c r="AL21" s="14"/>
      <c r="AO21" s="6"/>
      <c r="AP21" s="38"/>
      <c r="AR21" s="40"/>
    </row>
    <row r="22" spans="1:44" x14ac:dyDescent="0.25">
      <c r="A22" t="s">
        <v>219</v>
      </c>
      <c r="B22" s="6">
        <v>2500</v>
      </c>
      <c r="C22" t="s">
        <v>250</v>
      </c>
      <c r="D22" s="14">
        <v>46305</v>
      </c>
      <c r="E22" s="38" t="s">
        <v>185</v>
      </c>
      <c r="F22" s="14"/>
      <c r="G22"/>
      <c r="H22" s="6"/>
      <c r="I22" s="38"/>
      <c r="J22" s="14"/>
      <c r="L22" s="6"/>
      <c r="M22" s="38"/>
      <c r="N22" s="14"/>
      <c r="P22" s="6"/>
      <c r="Q22" s="38"/>
      <c r="R22" s="14"/>
      <c r="T22" s="6"/>
      <c r="U22" s="38"/>
      <c r="V22" s="14"/>
      <c r="X22" s="6"/>
      <c r="Y22" s="38"/>
      <c r="Z22" s="14"/>
      <c r="AB22" s="6"/>
      <c r="AC22" s="38"/>
      <c r="AD22" s="14"/>
      <c r="AF22" s="6"/>
      <c r="AG22" s="38"/>
      <c r="AH22" s="14"/>
      <c r="AJ22" s="6"/>
      <c r="AK22" s="38"/>
      <c r="AL22" s="14"/>
      <c r="AO22" s="6"/>
      <c r="AP22" s="38"/>
      <c r="AR22" s="40"/>
    </row>
    <row r="23" spans="1:44" x14ac:dyDescent="0.25">
      <c r="A23" t="s">
        <v>219</v>
      </c>
      <c r="B23" s="6">
        <v>2500</v>
      </c>
      <c r="C23" t="s">
        <v>251</v>
      </c>
      <c r="D23" s="14">
        <v>46313</v>
      </c>
      <c r="E23" s="38" t="s">
        <v>185</v>
      </c>
      <c r="F23" s="14"/>
      <c r="G23"/>
      <c r="H23" s="6"/>
      <c r="I23" s="38"/>
      <c r="J23" s="14"/>
      <c r="L23" s="6"/>
      <c r="M23" s="38"/>
      <c r="N23" s="14"/>
      <c r="P23" s="6"/>
      <c r="Q23" s="38"/>
      <c r="R23" s="14"/>
      <c r="T23" s="6"/>
      <c r="U23" s="38"/>
      <c r="V23" s="14"/>
      <c r="X23" s="6"/>
      <c r="Y23" s="38"/>
      <c r="Z23" s="14"/>
      <c r="AB23" s="6"/>
      <c r="AC23" s="38"/>
      <c r="AD23" s="14"/>
      <c r="AF23" s="6"/>
      <c r="AG23" s="38"/>
      <c r="AH23" s="14"/>
      <c r="AJ23" s="6"/>
      <c r="AK23" s="38"/>
      <c r="AL23" s="14"/>
      <c r="AO23" s="6"/>
      <c r="AP23" s="38"/>
      <c r="AR23" s="40"/>
    </row>
    <row r="24" spans="1:44" x14ac:dyDescent="0.25">
      <c r="A24" t="s">
        <v>219</v>
      </c>
      <c r="B24" s="6">
        <v>2500</v>
      </c>
      <c r="C24" t="s">
        <v>252</v>
      </c>
      <c r="D24" s="14">
        <v>46319</v>
      </c>
      <c r="E24" s="38" t="s">
        <v>185</v>
      </c>
      <c r="F24" s="14"/>
      <c r="G24"/>
      <c r="H24" s="6"/>
      <c r="I24" s="38"/>
      <c r="J24" s="14"/>
      <c r="L24" s="6"/>
      <c r="M24" s="38"/>
      <c r="N24" s="14"/>
      <c r="P24" s="6"/>
      <c r="Q24" s="38"/>
      <c r="R24" s="14"/>
      <c r="T24" s="6"/>
      <c r="U24" s="38"/>
      <c r="V24" s="14"/>
      <c r="X24" s="6"/>
      <c r="Y24" s="38"/>
      <c r="Z24" s="14"/>
      <c r="AB24" s="6"/>
      <c r="AC24" s="38"/>
      <c r="AD24" s="14"/>
      <c r="AF24" s="6"/>
      <c r="AG24" s="38"/>
      <c r="AH24" s="14"/>
      <c r="AJ24" s="6"/>
      <c r="AK24" s="38"/>
      <c r="AL24" s="14"/>
      <c r="AO24" s="6"/>
      <c r="AP24" s="38"/>
      <c r="AR24" s="40"/>
    </row>
    <row r="25" spans="1:44" x14ac:dyDescent="0.25">
      <c r="A25" t="s">
        <v>219</v>
      </c>
      <c r="B25" s="6"/>
      <c r="C25" t="s">
        <v>268</v>
      </c>
      <c r="D25" s="14"/>
      <c r="E25" s="38"/>
      <c r="F25" s="14"/>
      <c r="G25"/>
      <c r="H25" s="6"/>
      <c r="I25" s="38"/>
      <c r="J25" s="14"/>
      <c r="L25" s="6"/>
      <c r="M25" s="38"/>
      <c r="N25" s="14"/>
      <c r="P25" s="6"/>
      <c r="Q25" s="38"/>
      <c r="R25" s="14"/>
      <c r="T25" s="6"/>
      <c r="U25" s="38"/>
      <c r="V25" s="14"/>
      <c r="X25" s="6"/>
      <c r="Y25" s="38"/>
      <c r="Z25" s="14"/>
      <c r="AB25" s="6"/>
      <c r="AC25" s="38"/>
      <c r="AD25" s="14"/>
      <c r="AF25" s="6"/>
      <c r="AG25" s="38"/>
      <c r="AH25" s="14"/>
      <c r="AJ25" s="6"/>
      <c r="AK25" s="38"/>
      <c r="AL25" s="14"/>
      <c r="AO25" s="6"/>
      <c r="AP25" s="38"/>
      <c r="AR25" s="40"/>
    </row>
    <row r="26" spans="1:44" x14ac:dyDescent="0.25">
      <c r="A26" t="s">
        <v>475</v>
      </c>
      <c r="B26" s="6">
        <v>2500</v>
      </c>
      <c r="C26" t="s">
        <v>249</v>
      </c>
      <c r="D26" s="14">
        <v>46298</v>
      </c>
      <c r="E26" s="38" t="s">
        <v>185</v>
      </c>
      <c r="F26" s="14"/>
      <c r="G26"/>
      <c r="H26" s="6"/>
      <c r="I26" s="38"/>
      <c r="J26" s="14"/>
      <c r="L26" s="6"/>
      <c r="M26" s="38"/>
      <c r="N26" s="14"/>
      <c r="P26" s="6"/>
      <c r="Q26" s="38"/>
      <c r="R26" s="14"/>
      <c r="T26" s="6"/>
      <c r="U26" s="38"/>
      <c r="V26" s="14"/>
      <c r="X26" s="6"/>
      <c r="Y26" s="38"/>
      <c r="Z26" s="14"/>
      <c r="AB26" s="6"/>
      <c r="AC26" s="38"/>
      <c r="AD26" s="14"/>
      <c r="AF26" s="6"/>
      <c r="AG26" s="38"/>
      <c r="AH26" s="14"/>
      <c r="AJ26" s="6"/>
      <c r="AK26" s="38"/>
      <c r="AL26" s="14"/>
      <c r="AO26" s="6"/>
      <c r="AP26" s="38"/>
      <c r="AR26" s="40"/>
    </row>
    <row r="27" spans="1:44" x14ac:dyDescent="0.25">
      <c r="A27" t="s">
        <v>475</v>
      </c>
      <c r="B27" s="6">
        <v>2500</v>
      </c>
      <c r="C27" t="s">
        <v>250</v>
      </c>
      <c r="D27" s="14">
        <v>46305</v>
      </c>
      <c r="E27" s="38" t="s">
        <v>185</v>
      </c>
      <c r="F27" s="14"/>
      <c r="G27"/>
      <c r="H27" s="6"/>
      <c r="I27" s="38"/>
      <c r="J27" s="14"/>
      <c r="L27" s="6"/>
      <c r="M27" s="38"/>
      <c r="N27" s="14"/>
      <c r="P27" s="6"/>
      <c r="Q27" s="38"/>
      <c r="R27" s="14"/>
      <c r="T27" s="6"/>
      <c r="U27" s="38"/>
      <c r="V27" s="14"/>
      <c r="X27" s="6"/>
      <c r="Y27" s="38"/>
      <c r="Z27" s="14"/>
      <c r="AB27" s="6"/>
      <c r="AC27" s="38"/>
      <c r="AD27" s="14"/>
      <c r="AF27" s="6"/>
      <c r="AG27" s="38"/>
      <c r="AH27" s="14"/>
      <c r="AJ27" s="6"/>
      <c r="AK27" s="38"/>
      <c r="AL27" s="14"/>
      <c r="AO27" s="6"/>
      <c r="AP27" s="38"/>
      <c r="AR27" s="40"/>
    </row>
    <row r="28" spans="1:44" x14ac:dyDescent="0.25">
      <c r="A28" t="s">
        <v>475</v>
      </c>
      <c r="B28" s="6">
        <v>2500</v>
      </c>
      <c r="C28" t="s">
        <v>251</v>
      </c>
      <c r="D28" s="14">
        <v>46313</v>
      </c>
      <c r="E28" s="38" t="s">
        <v>185</v>
      </c>
      <c r="F28" s="14"/>
      <c r="G28"/>
      <c r="H28" s="6"/>
      <c r="I28" s="38"/>
      <c r="J28" s="14"/>
      <c r="L28" s="6"/>
      <c r="M28" s="38"/>
      <c r="N28" s="14"/>
      <c r="P28" s="6"/>
      <c r="Q28" s="38"/>
      <c r="R28" s="14"/>
      <c r="T28" s="6"/>
      <c r="U28" s="38"/>
      <c r="V28" s="14"/>
      <c r="X28" s="6"/>
      <c r="Y28" s="38"/>
      <c r="Z28" s="14"/>
      <c r="AB28" s="6"/>
      <c r="AC28" s="38"/>
      <c r="AD28" s="14"/>
      <c r="AF28" s="6"/>
      <c r="AG28" s="38"/>
      <c r="AH28" s="14"/>
      <c r="AJ28" s="6"/>
      <c r="AK28" s="38"/>
      <c r="AL28" s="14"/>
      <c r="AO28" s="6"/>
      <c r="AP28" s="38"/>
      <c r="AR28" s="40"/>
    </row>
    <row r="29" spans="1:44" x14ac:dyDescent="0.25">
      <c r="A29" t="s">
        <v>475</v>
      </c>
      <c r="B29" s="6">
        <v>2500</v>
      </c>
      <c r="C29" t="s">
        <v>252</v>
      </c>
      <c r="D29" s="14">
        <v>46319</v>
      </c>
      <c r="E29" s="38" t="s">
        <v>185</v>
      </c>
      <c r="F29" s="14"/>
      <c r="G29"/>
      <c r="H29" s="6"/>
      <c r="I29" s="38"/>
      <c r="J29" s="14"/>
      <c r="L29" s="6"/>
      <c r="M29" s="38"/>
      <c r="N29" s="14"/>
      <c r="P29" s="6"/>
      <c r="Q29" s="38"/>
      <c r="R29" s="14"/>
      <c r="T29" s="6"/>
      <c r="U29" s="38"/>
      <c r="V29" s="14"/>
      <c r="X29" s="6"/>
      <c r="Y29" s="38"/>
      <c r="Z29" s="14"/>
      <c r="AB29" s="6"/>
      <c r="AC29" s="38"/>
      <c r="AD29" s="14"/>
      <c r="AF29" s="6"/>
      <c r="AG29" s="38"/>
      <c r="AH29" s="14"/>
      <c r="AJ29" s="6"/>
      <c r="AK29" s="38"/>
      <c r="AL29" s="14"/>
      <c r="AO29" s="6"/>
      <c r="AP29" s="38"/>
      <c r="AR29" s="40"/>
    </row>
    <row r="30" spans="1:44" x14ac:dyDescent="0.25">
      <c r="A30" t="s">
        <v>187</v>
      </c>
      <c r="B30" s="6">
        <v>10500</v>
      </c>
      <c r="C30"/>
      <c r="D30" s="14">
        <v>46310</v>
      </c>
      <c r="E30" s="38" t="s">
        <v>185</v>
      </c>
      <c r="F30" s="14"/>
      <c r="G30"/>
      <c r="H30" s="6"/>
      <c r="I30" s="38"/>
      <c r="J30" s="14"/>
      <c r="L30" s="6"/>
      <c r="M30" s="38"/>
      <c r="N30" s="14"/>
      <c r="P30" s="6"/>
      <c r="Q30" s="38"/>
      <c r="R30" s="14"/>
      <c r="T30" s="6"/>
      <c r="U30" s="38"/>
      <c r="V30" s="14"/>
      <c r="X30" s="6"/>
      <c r="Y30" s="38"/>
      <c r="Z30" s="14"/>
      <c r="AB30" s="6"/>
      <c r="AC30" s="38"/>
      <c r="AD30" s="14"/>
      <c r="AF30" s="6"/>
      <c r="AG30" s="38"/>
      <c r="AH30" s="14"/>
      <c r="AJ30" s="6"/>
      <c r="AK30" s="38"/>
      <c r="AL30" s="14"/>
      <c r="AO30" s="6"/>
      <c r="AP30" s="38"/>
      <c r="AR30" s="40"/>
    </row>
    <row r="31" spans="1:44" x14ac:dyDescent="0.25">
      <c r="A31" t="s">
        <v>218</v>
      </c>
      <c r="B31" s="6">
        <v>5000</v>
      </c>
      <c r="C31" t="s">
        <v>8</v>
      </c>
      <c r="D31" s="14">
        <v>46310</v>
      </c>
      <c r="E31" s="38" t="s">
        <v>185</v>
      </c>
      <c r="F31" s="14"/>
      <c r="G31"/>
      <c r="H31" s="6"/>
      <c r="I31" s="38"/>
      <c r="J31" s="14"/>
      <c r="L31" s="6"/>
      <c r="M31" s="38"/>
      <c r="N31" s="14"/>
      <c r="P31" s="6"/>
      <c r="Q31" s="38"/>
      <c r="R31" s="14"/>
      <c r="T31" s="6"/>
      <c r="U31" s="38"/>
      <c r="V31" s="14"/>
      <c r="X31" s="6"/>
      <c r="Y31" s="38"/>
      <c r="Z31" s="14"/>
      <c r="AB31" s="6"/>
      <c r="AC31" s="38"/>
      <c r="AD31" s="14"/>
      <c r="AF31" s="6"/>
      <c r="AG31" s="38"/>
      <c r="AH31" s="14"/>
      <c r="AJ31" s="6"/>
      <c r="AK31" s="38"/>
      <c r="AL31" s="14"/>
      <c r="AO31" s="6"/>
      <c r="AP31" s="38"/>
      <c r="AR31" s="40"/>
    </row>
    <row r="32" spans="1:44" x14ac:dyDescent="0.25">
      <c r="A32" t="s">
        <v>217</v>
      </c>
      <c r="B32" s="6">
        <v>21000</v>
      </c>
      <c r="C32" t="s">
        <v>8</v>
      </c>
      <c r="D32" s="14">
        <v>46313</v>
      </c>
      <c r="E32" s="38" t="s">
        <v>185</v>
      </c>
      <c r="F32" s="14"/>
      <c r="G32"/>
      <c r="H32" s="6"/>
      <c r="I32" s="38"/>
      <c r="J32" s="14"/>
      <c r="L32" s="6"/>
      <c r="M32" s="38"/>
      <c r="N32" s="14"/>
      <c r="P32" s="6"/>
      <c r="Q32" s="38"/>
      <c r="R32" s="14"/>
      <c r="T32" s="6"/>
      <c r="U32" s="38"/>
      <c r="V32" s="14"/>
      <c r="X32" s="6"/>
      <c r="Y32" s="38"/>
      <c r="Z32" s="14"/>
      <c r="AB32" s="6"/>
      <c r="AC32" s="38"/>
      <c r="AD32" s="14"/>
      <c r="AF32" s="6"/>
      <c r="AG32" s="38"/>
      <c r="AH32" s="14"/>
      <c r="AJ32" s="6"/>
      <c r="AK32" s="38"/>
      <c r="AL32" s="14"/>
      <c r="AO32" s="6"/>
      <c r="AP32" s="38"/>
      <c r="AR32" s="40"/>
    </row>
    <row r="33" spans="1:44" x14ac:dyDescent="0.25">
      <c r="A33" t="s">
        <v>231</v>
      </c>
      <c r="B33" s="6">
        <v>12000</v>
      </c>
      <c r="C33" t="s">
        <v>12</v>
      </c>
      <c r="D33" s="14">
        <v>46307</v>
      </c>
      <c r="E33" s="38" t="s">
        <v>185</v>
      </c>
      <c r="F33" s="14"/>
      <c r="G33"/>
      <c r="H33" s="6"/>
      <c r="I33" s="38"/>
      <c r="J33" s="14"/>
      <c r="L33" s="6"/>
      <c r="M33" s="38"/>
      <c r="N33" s="14"/>
      <c r="P33" s="6"/>
      <c r="Q33" s="38"/>
      <c r="R33" s="14"/>
      <c r="T33" s="6"/>
      <c r="U33" s="38"/>
      <c r="V33" s="14"/>
      <c r="X33" s="6"/>
      <c r="Y33" s="38"/>
      <c r="Z33" s="14"/>
      <c r="AB33" s="6"/>
      <c r="AC33" s="38"/>
      <c r="AD33" s="14"/>
      <c r="AF33" s="6"/>
      <c r="AG33" s="38"/>
      <c r="AH33" s="14"/>
      <c r="AJ33" s="6"/>
      <c r="AK33" s="38"/>
      <c r="AL33" s="14"/>
      <c r="AO33" s="6"/>
      <c r="AP33" s="38"/>
      <c r="AR33" s="40"/>
    </row>
    <row r="34" spans="1:44" x14ac:dyDescent="0.25">
      <c r="A34" t="s">
        <v>126</v>
      </c>
      <c r="B34" s="6">
        <v>50000</v>
      </c>
      <c r="C34"/>
      <c r="D34" s="14"/>
      <c r="E34" s="38"/>
      <c r="F34" s="14"/>
      <c r="G34"/>
      <c r="H34" s="6"/>
      <c r="I34" s="38"/>
      <c r="J34" s="14"/>
      <c r="L34" s="6"/>
      <c r="M34" s="38"/>
      <c r="N34" s="14"/>
      <c r="P34" s="6"/>
      <c r="Q34" s="38"/>
      <c r="R34" s="14"/>
      <c r="T34" s="6"/>
      <c r="U34" s="38"/>
      <c r="V34" s="14"/>
      <c r="X34" s="6"/>
      <c r="Y34" s="38"/>
      <c r="Z34" s="14"/>
      <c r="AB34" s="6"/>
      <c r="AC34" s="38"/>
      <c r="AD34" s="14"/>
      <c r="AF34" s="6"/>
      <c r="AG34" s="38"/>
      <c r="AH34" s="14"/>
      <c r="AJ34" s="6"/>
      <c r="AK34" s="38"/>
      <c r="AL34" s="14"/>
      <c r="AO34" s="6"/>
      <c r="AP34" s="38"/>
      <c r="AR34" s="40"/>
    </row>
    <row r="35" spans="1:44" x14ac:dyDescent="0.25">
      <c r="A35" s="95" t="s">
        <v>228</v>
      </c>
      <c r="B35" s="96">
        <f>SUM(B3:B34)</f>
        <v>288600</v>
      </c>
      <c r="C35" s="97"/>
      <c r="D35" s="98"/>
      <c r="E35" s="99"/>
      <c r="F35" s="98"/>
      <c r="G35" s="95" t="s">
        <v>228</v>
      </c>
      <c r="H35" s="96">
        <f>SUM(H3:H34)</f>
        <v>0</v>
      </c>
      <c r="I35" s="99"/>
      <c r="J35" s="98"/>
      <c r="K35" s="95" t="s">
        <v>228</v>
      </c>
      <c r="L35" s="96">
        <f>SUM(L3:L34)</f>
        <v>194850</v>
      </c>
      <c r="M35" s="99"/>
      <c r="N35" s="98"/>
      <c r="O35" s="95" t="s">
        <v>228</v>
      </c>
      <c r="P35" s="96">
        <f>SUM(P3:P34)</f>
        <v>45600</v>
      </c>
      <c r="Q35" s="99"/>
      <c r="R35" s="98"/>
      <c r="S35" s="95" t="s">
        <v>228</v>
      </c>
      <c r="T35" s="96">
        <f>SUM(T3:T34)</f>
        <v>108800</v>
      </c>
      <c r="U35" s="99"/>
      <c r="V35" s="98"/>
      <c r="W35" s="95" t="s">
        <v>228</v>
      </c>
      <c r="X35" s="96">
        <f>SUM(X3:X34)</f>
        <v>15000</v>
      </c>
      <c r="Y35" s="99"/>
      <c r="Z35" s="98"/>
      <c r="AA35" s="95" t="s">
        <v>228</v>
      </c>
      <c r="AB35" s="96">
        <f>SUM(AB3:AB34)</f>
        <v>3000</v>
      </c>
      <c r="AC35" s="99"/>
      <c r="AD35" s="98"/>
      <c r="AE35" s="95" t="s">
        <v>228</v>
      </c>
      <c r="AF35" s="96">
        <f>SUM(AF3:AF34)</f>
        <v>3000</v>
      </c>
      <c r="AG35" s="99"/>
      <c r="AH35" s="98"/>
      <c r="AI35" s="95" t="s">
        <v>228</v>
      </c>
      <c r="AJ35" s="96">
        <f>SUM(AJ3:AJ34)</f>
        <v>2200</v>
      </c>
      <c r="AK35" s="99"/>
      <c r="AL35" s="98"/>
      <c r="AM35" s="97"/>
      <c r="AN35" s="95" t="s">
        <v>228</v>
      </c>
      <c r="AO35" s="96">
        <f>SUM(AO3:AO34)</f>
        <v>0</v>
      </c>
      <c r="AP35" s="99"/>
      <c r="AQ35" s="95" t="s">
        <v>228</v>
      </c>
      <c r="AR35" s="100">
        <f>SUM(AR3:AR34)</f>
        <v>0</v>
      </c>
    </row>
    <row r="36" spans="1:44" x14ac:dyDescent="0.25">
      <c r="C36"/>
      <c r="D36"/>
      <c r="E36"/>
      <c r="F36"/>
      <c r="G36"/>
      <c r="H36"/>
      <c r="I36"/>
      <c r="J36"/>
    </row>
    <row r="37" spans="1:44" x14ac:dyDescent="0.25">
      <c r="C37"/>
      <c r="D37"/>
      <c r="E37"/>
      <c r="F37"/>
      <c r="G37"/>
      <c r="H37"/>
      <c r="I37"/>
      <c r="J37"/>
    </row>
    <row r="38" spans="1:44" ht="26.25" customHeight="1" x14ac:dyDescent="0.25">
      <c r="A38" s="41" t="s">
        <v>351</v>
      </c>
      <c r="B38" s="41"/>
      <c r="C38" s="41"/>
      <c r="D38" s="41"/>
      <c r="E38" s="41"/>
      <c r="F38" s="41"/>
      <c r="G38"/>
      <c r="H38"/>
      <c r="I38"/>
      <c r="J38"/>
    </row>
    <row r="39" spans="1:44" ht="26.25" customHeight="1" x14ac:dyDescent="0.25">
      <c r="A39" s="42" t="s">
        <v>229</v>
      </c>
      <c r="B39" s="42" t="s">
        <v>238</v>
      </c>
      <c r="C39" s="42" t="s">
        <v>181</v>
      </c>
      <c r="D39" s="42" t="s">
        <v>355</v>
      </c>
      <c r="E39" s="42" t="s">
        <v>227</v>
      </c>
      <c r="F39" s="42" t="s">
        <v>226</v>
      </c>
      <c r="G39"/>
      <c r="H39"/>
      <c r="I39"/>
      <c r="J39"/>
    </row>
    <row r="40" spans="1:44" ht="24" customHeight="1" x14ac:dyDescent="0.25">
      <c r="A40" s="115">
        <v>648000</v>
      </c>
      <c r="B40" s="115">
        <v>20464.8</v>
      </c>
      <c r="C40" s="115">
        <v>611050</v>
      </c>
      <c r="D40" s="90">
        <v>97350</v>
      </c>
      <c r="E40" s="115">
        <v>50000</v>
      </c>
      <c r="F40" s="90">
        <v>-80864.800000000003</v>
      </c>
      <c r="G40"/>
      <c r="H40"/>
      <c r="I40"/>
      <c r="J40"/>
    </row>
    <row r="41" spans="1:44" ht="21.95" customHeight="1" x14ac:dyDescent="0.25">
      <c r="A41" s="43" t="s">
        <v>352</v>
      </c>
      <c r="B41" s="43" t="s">
        <v>353</v>
      </c>
      <c r="C41" s="43" t="s">
        <v>354</v>
      </c>
      <c r="D41" s="43" t="s">
        <v>356</v>
      </c>
      <c r="E41" s="43" t="s">
        <v>357</v>
      </c>
      <c r="F41" s="43" t="s">
        <v>358</v>
      </c>
      <c r="G41"/>
      <c r="H41"/>
      <c r="I41"/>
      <c r="J41"/>
    </row>
    <row r="42" spans="1:44" ht="20.100000000000001" customHeight="1" x14ac:dyDescent="0.25">
      <c r="C42"/>
      <c r="D42"/>
      <c r="E42"/>
      <c r="F42"/>
      <c r="G42"/>
      <c r="H42"/>
      <c r="I42"/>
      <c r="J42"/>
    </row>
    <row r="43" spans="1:44" ht="21.95" customHeight="1" x14ac:dyDescent="0.25">
      <c r="A43" s="197" t="s">
        <v>506</v>
      </c>
      <c r="B43" s="197"/>
      <c r="C43" s="197"/>
      <c r="D43" s="197"/>
      <c r="E43" s="197"/>
      <c r="F43" s="197"/>
      <c r="G43" s="197"/>
      <c r="H43" s="197"/>
      <c r="I43" s="197"/>
      <c r="J43" s="197"/>
      <c r="K43" s="197"/>
    </row>
    <row r="44" spans="1:44" ht="20.100000000000001" customHeight="1" x14ac:dyDescent="0.25">
      <c r="A44" s="198" t="s">
        <v>76</v>
      </c>
      <c r="B44" s="198" t="s">
        <v>245</v>
      </c>
      <c r="C44" s="198" t="s">
        <v>360</v>
      </c>
      <c r="D44" s="198" t="s">
        <v>77</v>
      </c>
      <c r="E44" s="198" t="s">
        <v>220</v>
      </c>
      <c r="F44" s="198" t="s">
        <v>507</v>
      </c>
      <c r="G44" s="198" t="s">
        <v>79</v>
      </c>
      <c r="H44" s="198" t="s">
        <v>230</v>
      </c>
      <c r="I44" s="198" t="s">
        <v>80</v>
      </c>
      <c r="J44" s="198" t="s">
        <v>81</v>
      </c>
      <c r="K44" s="199" t="s">
        <v>204</v>
      </c>
    </row>
    <row r="45" spans="1:44" ht="24" customHeight="1" x14ac:dyDescent="0.25">
      <c r="A45" s="200">
        <v>238600</v>
      </c>
      <c r="B45" s="200">
        <v>0</v>
      </c>
      <c r="C45" s="200">
        <v>194850</v>
      </c>
      <c r="D45" s="200">
        <v>45600</v>
      </c>
      <c r="E45" s="200">
        <v>108800</v>
      </c>
      <c r="F45" s="200">
        <v>15000</v>
      </c>
      <c r="G45" s="200">
        <v>3000</v>
      </c>
      <c r="H45" s="200">
        <v>3000</v>
      </c>
      <c r="I45" s="200">
        <v>2200</v>
      </c>
      <c r="J45" s="200">
        <v>0</v>
      </c>
      <c r="K45" s="201">
        <v>611050</v>
      </c>
    </row>
    <row r="46" spans="1:44" ht="15.95" customHeight="1" x14ac:dyDescent="0.25">
      <c r="A46" s="202" t="s">
        <v>508</v>
      </c>
      <c r="B46" s="202" t="s">
        <v>508</v>
      </c>
      <c r="C46" s="202" t="s">
        <v>508</v>
      </c>
      <c r="D46" s="202" t="s">
        <v>508</v>
      </c>
      <c r="E46" s="202" t="s">
        <v>508</v>
      </c>
      <c r="F46" s="202" t="s">
        <v>508</v>
      </c>
      <c r="G46" s="202" t="s">
        <v>508</v>
      </c>
      <c r="H46" s="202" t="s">
        <v>508</v>
      </c>
      <c r="I46" s="202" t="s">
        <v>508</v>
      </c>
      <c r="J46" s="202" t="s">
        <v>508</v>
      </c>
      <c r="K46" s="202" t="s">
        <v>509</v>
      </c>
    </row>
    <row r="47" spans="1:44" x14ac:dyDescent="0.25">
      <c r="C47"/>
      <c r="D47"/>
      <c r="E47"/>
      <c r="F47"/>
      <c r="G47"/>
      <c r="H47"/>
      <c r="I47"/>
      <c r="J47"/>
    </row>
    <row r="48" spans="1:44" x14ac:dyDescent="0.25">
      <c r="C48"/>
      <c r="D48"/>
      <c r="E48"/>
      <c r="F48"/>
      <c r="G48"/>
      <c r="H48"/>
      <c r="I48"/>
      <c r="J48"/>
    </row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</sheetData>
  <autoFilter ref="A1:L1" xr:uid="{00000000-0009-0000-0000-000001000000}"/>
  <phoneticPr fontId="7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80710-1689-4811-A874-BD6F0D170E8F}">
  <sheetPr codeName="Sheet29"/>
  <dimension ref="A1:J33"/>
  <sheetViews>
    <sheetView workbookViewId="0">
      <selection activeCell="P20" sqref="P20"/>
    </sheetView>
  </sheetViews>
  <sheetFormatPr defaultRowHeight="15" x14ac:dyDescent="0.25"/>
  <cols>
    <col min="1" max="1" width="14.7109375" customWidth="1"/>
    <col min="2" max="2" width="18.7109375" customWidth="1"/>
    <col min="3" max="3" width="28.7109375" customWidth="1"/>
    <col min="4" max="5" width="12.7109375" customWidth="1"/>
    <col min="6" max="6" width="2.7109375" customWidth="1"/>
    <col min="7" max="7" width="14.7109375" customWidth="1"/>
    <col min="8" max="8" width="18.7109375" customWidth="1"/>
    <col min="9" max="9" width="28.7109375" customWidth="1"/>
    <col min="10" max="10" width="12.7109375" customWidth="1"/>
  </cols>
  <sheetData>
    <row r="1" spans="1:10" ht="30" customHeight="1" x14ac:dyDescent="0.25">
      <c r="A1" s="203" t="s">
        <v>501</v>
      </c>
      <c r="B1" s="204"/>
      <c r="C1" s="204"/>
      <c r="D1" s="204"/>
      <c r="E1" s="204"/>
      <c r="F1" s="204"/>
      <c r="G1" s="204"/>
      <c r="H1" s="204"/>
      <c r="I1" s="204"/>
      <c r="J1" s="204"/>
    </row>
    <row r="2" spans="1:10" ht="21.95" customHeight="1" x14ac:dyDescent="0.25">
      <c r="A2" s="102" t="s">
        <v>315</v>
      </c>
      <c r="B2" s="102"/>
      <c r="C2" s="102"/>
      <c r="D2" s="102"/>
      <c r="E2" s="102"/>
      <c r="F2" s="103"/>
      <c r="G2" s="104" t="s">
        <v>316</v>
      </c>
      <c r="H2" s="104"/>
      <c r="I2" s="104"/>
      <c r="J2" s="104"/>
    </row>
    <row r="3" spans="1:10" ht="20.100000000000001" customHeight="1" x14ac:dyDescent="0.25">
      <c r="A3" s="105" t="s">
        <v>70</v>
      </c>
      <c r="B3" s="105" t="s">
        <v>317</v>
      </c>
      <c r="C3" s="105" t="s">
        <v>305</v>
      </c>
      <c r="D3" s="105" t="s">
        <v>73</v>
      </c>
      <c r="E3" s="105" t="s">
        <v>322</v>
      </c>
      <c r="F3" s="103"/>
      <c r="G3" s="105" t="s">
        <v>70</v>
      </c>
      <c r="H3" s="105" t="s">
        <v>304</v>
      </c>
      <c r="I3" s="105" t="s">
        <v>305</v>
      </c>
      <c r="J3" s="105" t="s">
        <v>73</v>
      </c>
    </row>
    <row r="4" spans="1:10" ht="15.95" customHeight="1" x14ac:dyDescent="0.25">
      <c r="A4" s="116">
        <v>46299</v>
      </c>
      <c r="B4" s="106" t="s">
        <v>505</v>
      </c>
      <c r="C4" s="106"/>
      <c r="D4" s="106">
        <v>900</v>
      </c>
      <c r="E4" t="s">
        <v>320</v>
      </c>
      <c r="F4" s="103"/>
      <c r="G4" s="107">
        <v>46299</v>
      </c>
      <c r="H4" s="106" t="s">
        <v>477</v>
      </c>
      <c r="I4" s="106" t="s">
        <v>478</v>
      </c>
      <c r="J4" s="108">
        <v>5000</v>
      </c>
    </row>
    <row r="5" spans="1:10" ht="15.95" customHeight="1" x14ac:dyDescent="0.25">
      <c r="A5" s="109"/>
      <c r="B5" s="109"/>
      <c r="C5" s="109"/>
      <c r="D5" s="109"/>
      <c r="F5" s="103"/>
      <c r="G5" s="110">
        <v>46300</v>
      </c>
      <c r="H5" s="109" t="s">
        <v>97</v>
      </c>
      <c r="I5" s="109" t="s">
        <v>479</v>
      </c>
      <c r="J5" s="111">
        <v>350</v>
      </c>
    </row>
    <row r="6" spans="1:10" ht="15.95" customHeight="1" x14ac:dyDescent="0.25">
      <c r="A6" s="106"/>
      <c r="B6" s="106"/>
      <c r="C6" s="106"/>
      <c r="D6" s="106"/>
      <c r="F6" s="103"/>
      <c r="G6" s="107">
        <v>46301</v>
      </c>
      <c r="H6" s="106" t="s">
        <v>255</v>
      </c>
      <c r="I6" s="106" t="s">
        <v>480</v>
      </c>
      <c r="J6" s="108">
        <v>2100</v>
      </c>
    </row>
    <row r="7" spans="1:10" ht="15.95" customHeight="1" x14ac:dyDescent="0.25">
      <c r="A7" s="109"/>
      <c r="B7" s="109"/>
      <c r="C7" s="109"/>
      <c r="D7" s="109"/>
      <c r="F7" s="103"/>
      <c r="G7" s="110">
        <v>46304</v>
      </c>
      <c r="H7" s="109" t="s">
        <v>481</v>
      </c>
      <c r="I7" s="109" t="s">
        <v>482</v>
      </c>
      <c r="J7" s="111">
        <v>10000</v>
      </c>
    </row>
    <row r="8" spans="1:10" ht="15.95" customHeight="1" x14ac:dyDescent="0.25">
      <c r="A8" s="106"/>
      <c r="B8" s="106"/>
      <c r="C8" s="106"/>
      <c r="D8" s="106"/>
      <c r="F8" s="103"/>
      <c r="G8" s="107">
        <v>46305</v>
      </c>
      <c r="H8" s="106" t="s">
        <v>481</v>
      </c>
      <c r="I8" s="106" t="s">
        <v>482</v>
      </c>
      <c r="J8" s="108">
        <v>10000</v>
      </c>
    </row>
    <row r="9" spans="1:10" ht="15.95" customHeight="1" x14ac:dyDescent="0.25">
      <c r="A9" s="109"/>
      <c r="B9" s="109"/>
      <c r="C9" s="109"/>
      <c r="D9" s="109"/>
      <c r="F9" s="103"/>
      <c r="G9" s="110">
        <v>46303</v>
      </c>
      <c r="H9" s="109" t="s">
        <v>483</v>
      </c>
      <c r="I9" s="109" t="s">
        <v>484</v>
      </c>
      <c r="J9" s="111">
        <v>5000</v>
      </c>
    </row>
    <row r="10" spans="1:10" ht="15.95" customHeight="1" x14ac:dyDescent="0.25">
      <c r="A10" s="106"/>
      <c r="B10" s="106"/>
      <c r="C10" s="106"/>
      <c r="D10" s="106"/>
      <c r="F10" s="103"/>
      <c r="G10" s="107">
        <v>46303</v>
      </c>
      <c r="H10" s="106" t="s">
        <v>485</v>
      </c>
      <c r="I10" s="106" t="s">
        <v>502</v>
      </c>
      <c r="J10" s="108">
        <v>5000</v>
      </c>
    </row>
    <row r="11" spans="1:10" ht="15.95" customHeight="1" x14ac:dyDescent="0.25">
      <c r="A11" s="109"/>
      <c r="B11" s="109"/>
      <c r="C11" s="109"/>
      <c r="D11" s="109"/>
      <c r="F11" s="103"/>
      <c r="G11" s="110">
        <v>46305</v>
      </c>
      <c r="H11" s="109" t="s">
        <v>217</v>
      </c>
      <c r="I11" s="109" t="s">
        <v>487</v>
      </c>
      <c r="J11" s="111">
        <v>5000</v>
      </c>
    </row>
    <row r="12" spans="1:10" ht="15.95" customHeight="1" x14ac:dyDescent="0.25">
      <c r="A12" s="106"/>
      <c r="B12" s="106"/>
      <c r="C12" s="106"/>
      <c r="D12" s="106"/>
      <c r="F12" s="103"/>
      <c r="G12" s="107">
        <v>46306</v>
      </c>
      <c r="H12" s="106" t="s">
        <v>310</v>
      </c>
      <c r="I12" s="106" t="s">
        <v>488</v>
      </c>
      <c r="J12" s="108">
        <v>6000</v>
      </c>
    </row>
    <row r="13" spans="1:10" ht="15.95" customHeight="1" x14ac:dyDescent="0.25">
      <c r="A13" s="109"/>
      <c r="B13" s="109"/>
      <c r="C13" s="109"/>
      <c r="D13" s="109"/>
      <c r="F13" s="103"/>
      <c r="G13" s="110">
        <v>46310</v>
      </c>
      <c r="H13" s="109" t="s">
        <v>113</v>
      </c>
      <c r="I13" s="109" t="s">
        <v>488</v>
      </c>
      <c r="J13" s="111">
        <v>26000</v>
      </c>
    </row>
    <row r="14" spans="1:10" ht="15.95" customHeight="1" x14ac:dyDescent="0.25">
      <c r="A14" s="106"/>
      <c r="B14" s="106"/>
      <c r="C14" s="106"/>
      <c r="D14" s="106"/>
      <c r="F14" s="103"/>
      <c r="G14" s="107">
        <v>46310</v>
      </c>
      <c r="H14" s="106" t="s">
        <v>489</v>
      </c>
      <c r="I14" s="106" t="s">
        <v>490</v>
      </c>
      <c r="J14" s="108">
        <v>5000</v>
      </c>
    </row>
    <row r="15" spans="1:10" ht="15.95" customHeight="1" x14ac:dyDescent="0.25">
      <c r="A15" s="109"/>
      <c r="B15" s="109"/>
      <c r="C15" s="109"/>
      <c r="D15" s="109"/>
      <c r="F15" s="103"/>
      <c r="G15" s="110">
        <v>46316</v>
      </c>
      <c r="H15" s="109" t="s">
        <v>491</v>
      </c>
      <c r="I15" s="109" t="s">
        <v>492</v>
      </c>
      <c r="J15" s="111">
        <v>600</v>
      </c>
    </row>
    <row r="16" spans="1:10" ht="15.95" customHeight="1" x14ac:dyDescent="0.25">
      <c r="A16" s="106"/>
      <c r="B16" s="106"/>
      <c r="C16" s="106"/>
      <c r="D16" s="106"/>
      <c r="F16" s="103"/>
      <c r="G16" s="107">
        <v>46318</v>
      </c>
      <c r="H16" s="106" t="s">
        <v>493</v>
      </c>
      <c r="I16" s="106" t="s">
        <v>260</v>
      </c>
      <c r="J16" s="108">
        <v>8000</v>
      </c>
    </row>
    <row r="17" spans="1:10" ht="15.95" customHeight="1" x14ac:dyDescent="0.25">
      <c r="A17" s="109"/>
      <c r="B17" s="109"/>
      <c r="C17" s="109"/>
      <c r="D17" s="109"/>
      <c r="F17" s="103"/>
      <c r="G17" s="110">
        <v>46310</v>
      </c>
      <c r="H17" s="109" t="s">
        <v>103</v>
      </c>
      <c r="I17" s="109" t="s">
        <v>494</v>
      </c>
      <c r="J17" s="111">
        <v>300</v>
      </c>
    </row>
    <row r="18" spans="1:10" ht="15.95" customHeight="1" x14ac:dyDescent="0.25">
      <c r="A18" s="106"/>
      <c r="B18" s="106"/>
      <c r="C18" s="106"/>
      <c r="D18" s="106"/>
      <c r="F18" s="103"/>
      <c r="G18" s="107">
        <v>46307</v>
      </c>
      <c r="H18" s="106" t="s">
        <v>103</v>
      </c>
      <c r="I18" s="106" t="s">
        <v>496</v>
      </c>
      <c r="J18" s="108">
        <v>400</v>
      </c>
    </row>
    <row r="19" spans="1:10" ht="15.95" customHeight="1" x14ac:dyDescent="0.25">
      <c r="A19" s="109"/>
      <c r="B19" s="109"/>
      <c r="C19" s="109"/>
      <c r="D19" s="109"/>
      <c r="F19" s="103"/>
      <c r="G19" s="110">
        <v>46301</v>
      </c>
      <c r="H19" s="109" t="s">
        <v>217</v>
      </c>
      <c r="I19" s="109" t="s">
        <v>497</v>
      </c>
      <c r="J19" s="111">
        <v>600</v>
      </c>
    </row>
    <row r="20" spans="1:10" ht="15.95" customHeight="1" x14ac:dyDescent="0.25">
      <c r="A20" s="106"/>
      <c r="B20" s="106"/>
      <c r="C20" s="106"/>
      <c r="D20" s="106"/>
      <c r="F20" s="103"/>
      <c r="G20" s="107">
        <v>46303</v>
      </c>
      <c r="H20" s="106" t="s">
        <v>217</v>
      </c>
      <c r="I20" s="106" t="s">
        <v>498</v>
      </c>
      <c r="J20" s="108">
        <v>4000</v>
      </c>
    </row>
    <row r="21" spans="1:10" ht="15.95" customHeight="1" x14ac:dyDescent="0.25">
      <c r="A21" s="109"/>
      <c r="B21" s="109"/>
      <c r="C21" s="109"/>
      <c r="D21" s="109"/>
      <c r="F21" s="103"/>
      <c r="G21" s="110">
        <v>46307</v>
      </c>
      <c r="H21" s="109" t="s">
        <v>499</v>
      </c>
      <c r="I21" s="109" t="s">
        <v>500</v>
      </c>
      <c r="J21" s="111">
        <v>4000</v>
      </c>
    </row>
    <row r="22" spans="1:10" ht="20.100000000000001" customHeight="1" x14ac:dyDescent="0.25">
      <c r="A22" s="97" t="s">
        <v>228</v>
      </c>
      <c r="B22" s="97"/>
      <c r="C22" s="97"/>
      <c r="D22" s="112">
        <f>SUM(D4:D21)</f>
        <v>900</v>
      </c>
      <c r="E22" s="97"/>
      <c r="F22" s="113"/>
      <c r="G22" s="97" t="s">
        <v>228</v>
      </c>
      <c r="H22" s="97"/>
      <c r="I22" s="97"/>
      <c r="J22" s="112">
        <f>SUM(J4:J21)</f>
        <v>97350</v>
      </c>
    </row>
    <row r="23" spans="1:10" ht="15.95" customHeight="1" x14ac:dyDescent="0.25"/>
    <row r="24" spans="1:10" ht="15.95" customHeight="1" x14ac:dyDescent="0.25"/>
    <row r="25" spans="1:10" ht="15.95" customHeight="1" x14ac:dyDescent="0.25"/>
    <row r="26" spans="1:10" ht="15.95" customHeight="1" x14ac:dyDescent="0.25"/>
    <row r="27" spans="1:10" ht="15.95" customHeight="1" x14ac:dyDescent="0.25"/>
    <row r="28" spans="1:10" ht="15.95" customHeight="1" x14ac:dyDescent="0.25"/>
    <row r="29" spans="1:10" ht="15.95" customHeight="1" x14ac:dyDescent="0.25"/>
    <row r="30" spans="1:10" ht="15.95" customHeight="1" x14ac:dyDescent="0.25"/>
    <row r="31" spans="1:10" ht="15.95" customHeight="1" x14ac:dyDescent="0.25"/>
    <row r="32" spans="1:10" ht="15.95" customHeight="1" x14ac:dyDescent="0.25"/>
    <row r="33" ht="20.100000000000001" customHeight="1" x14ac:dyDescent="0.25"/>
  </sheetData>
  <mergeCells count="1">
    <mergeCell ref="A1:J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>
    <tabColor rgb="FF1E40AF"/>
  </sheetPr>
  <dimension ref="B1:M54"/>
  <sheetViews>
    <sheetView topLeftCell="A13" workbookViewId="0"/>
  </sheetViews>
  <sheetFormatPr defaultColWidth="9.140625" defaultRowHeight="14.25" x14ac:dyDescent="0.25"/>
  <cols>
    <col min="1" max="1" width="3.7109375" style="51" customWidth="1"/>
    <col min="2" max="2" width="18.7109375" style="51" customWidth="1"/>
    <col min="3" max="3" width="16.7109375" style="51" customWidth="1"/>
    <col min="4" max="4" width="14.7109375" style="51" customWidth="1"/>
    <col min="5" max="6" width="15.7109375" style="51" customWidth="1"/>
    <col min="7" max="7" width="13.7109375" style="51" customWidth="1"/>
    <col min="8" max="9" width="17.7109375" style="51" customWidth="1"/>
    <col min="10" max="10" width="14.7109375" style="51" customWidth="1"/>
    <col min="11" max="11" width="15.7109375" style="51" customWidth="1"/>
    <col min="12" max="12" width="16.7109375" style="51" customWidth="1"/>
    <col min="13" max="13" width="18.7109375" style="51" customWidth="1"/>
    <col min="14" max="14" width="3.7109375" style="51" customWidth="1"/>
    <col min="15" max="16384" width="9.140625" style="51"/>
  </cols>
  <sheetData>
    <row r="1" spans="2:13" ht="9.9499999999999993" customHeight="1" x14ac:dyDescent="0.25"/>
    <row r="2" spans="2:13" ht="36" customHeight="1" x14ac:dyDescent="0.25">
      <c r="B2" s="222" t="s">
        <v>361</v>
      </c>
      <c r="C2" s="222"/>
      <c r="D2" s="222"/>
      <c r="E2" s="222"/>
      <c r="F2" s="222"/>
      <c r="G2" s="222"/>
      <c r="H2" s="222"/>
      <c r="I2" s="222"/>
      <c r="J2" s="222"/>
      <c r="K2" s="222"/>
      <c r="L2" s="222"/>
      <c r="M2" s="222"/>
    </row>
    <row r="3" spans="2:13" ht="20.25" customHeight="1" x14ac:dyDescent="0.25">
      <c r="B3" s="223" t="s">
        <v>362</v>
      </c>
      <c r="C3" s="223"/>
      <c r="D3" s="223"/>
      <c r="E3" s="223"/>
      <c r="F3" s="223"/>
      <c r="G3" s="223"/>
      <c r="H3" s="223"/>
      <c r="I3" s="223"/>
      <c r="J3" s="223"/>
      <c r="K3" s="223"/>
      <c r="L3" s="223"/>
      <c r="M3" s="223"/>
    </row>
    <row r="4" spans="2:13" ht="9.9499999999999993" customHeight="1" x14ac:dyDescent="0.25"/>
    <row r="5" spans="2:13" ht="18" customHeight="1" x14ac:dyDescent="0.25">
      <c r="B5" s="224" t="s">
        <v>363</v>
      </c>
      <c r="C5" s="224"/>
      <c r="D5" s="225" t="s">
        <v>365</v>
      </c>
      <c r="E5" s="225"/>
      <c r="F5" s="226" t="s">
        <v>367</v>
      </c>
      <c r="G5" s="226"/>
      <c r="H5" s="216" t="s">
        <v>369</v>
      </c>
      <c r="I5" s="216"/>
      <c r="J5" s="218" t="s">
        <v>371</v>
      </c>
      <c r="K5" s="218"/>
      <c r="L5" s="220" t="s">
        <v>373</v>
      </c>
      <c r="M5" s="220"/>
    </row>
    <row r="6" spans="2:13" ht="27.95" customHeight="1" x14ac:dyDescent="0.25">
      <c r="B6" s="219">
        <f t="shared" ref="B6" si="0">C24</f>
        <v>1716700</v>
      </c>
      <c r="C6" s="219"/>
      <c r="D6" s="219">
        <f t="shared" ref="D6" si="1">H24</f>
        <v>1634542</v>
      </c>
      <c r="E6" s="219"/>
      <c r="F6" s="219">
        <f t="shared" ref="F6" si="2">I24</f>
        <v>82158</v>
      </c>
      <c r="G6" s="219"/>
      <c r="H6" s="217">
        <f t="shared" ref="H6" si="3">J24</f>
        <v>4.7858099842721498E-2</v>
      </c>
      <c r="I6" s="217"/>
      <c r="J6" s="219">
        <f t="shared" ref="J6" si="4">K24</f>
        <v>57800</v>
      </c>
      <c r="K6" s="219"/>
      <c r="L6" s="219">
        <f t="shared" ref="L6" si="5">I24-K24</f>
        <v>24358</v>
      </c>
      <c r="M6" s="219"/>
    </row>
    <row r="7" spans="2:13" ht="15.95" customHeight="1" x14ac:dyDescent="0.25">
      <c r="B7" s="215" t="s">
        <v>364</v>
      </c>
      <c r="C7" s="215"/>
      <c r="D7" s="215" t="s">
        <v>366</v>
      </c>
      <c r="E7" s="215"/>
      <c r="F7" s="215" t="s">
        <v>368</v>
      </c>
      <c r="G7" s="215"/>
      <c r="H7" s="215" t="s">
        <v>370</v>
      </c>
      <c r="I7" s="215"/>
      <c r="J7" s="215" t="s">
        <v>372</v>
      </c>
      <c r="K7" s="215"/>
      <c r="L7" s="215" t="s">
        <v>374</v>
      </c>
      <c r="M7" s="215"/>
    </row>
    <row r="8" spans="2:13" ht="8.25" customHeight="1" x14ac:dyDescent="0.25"/>
    <row r="10" spans="2:13" ht="24" customHeight="1" x14ac:dyDescent="0.25">
      <c r="B10" s="221" t="s">
        <v>375</v>
      </c>
      <c r="C10" s="221"/>
      <c r="D10" s="221"/>
      <c r="E10" s="221"/>
      <c r="F10" s="221"/>
      <c r="G10" s="221"/>
      <c r="H10" s="221"/>
      <c r="I10" s="221"/>
      <c r="J10" s="221"/>
      <c r="K10" s="221"/>
      <c r="L10" s="221"/>
      <c r="M10" s="221"/>
    </row>
    <row r="11" spans="2:13" ht="30" customHeight="1" x14ac:dyDescent="0.25">
      <c r="B11" s="52" t="s">
        <v>376</v>
      </c>
      <c r="C11" s="52" t="s">
        <v>377</v>
      </c>
      <c r="D11" s="52" t="s">
        <v>378</v>
      </c>
      <c r="E11" s="52" t="s">
        <v>379</v>
      </c>
      <c r="F11" s="52" t="s">
        <v>380</v>
      </c>
      <c r="G11" s="52" t="s">
        <v>381</v>
      </c>
      <c r="H11" s="52" t="s">
        <v>382</v>
      </c>
      <c r="I11" s="52" t="s">
        <v>383</v>
      </c>
      <c r="J11" s="52" t="s">
        <v>384</v>
      </c>
      <c r="K11" s="52" t="s">
        <v>385</v>
      </c>
      <c r="L11" s="52" t="s">
        <v>386</v>
      </c>
      <c r="M11" s="52" t="s">
        <v>387</v>
      </c>
    </row>
    <row r="12" spans="2:13" ht="20.25" customHeight="1" x14ac:dyDescent="0.25">
      <c r="B12" s="53">
        <v>46204</v>
      </c>
      <c r="C12" s="54">
        <v>829100</v>
      </c>
      <c r="D12" s="54">
        <v>114242</v>
      </c>
      <c r="E12" s="54">
        <v>291100</v>
      </c>
      <c r="F12" s="54">
        <v>441570</v>
      </c>
      <c r="G12" s="54">
        <v>0</v>
      </c>
      <c r="H12" s="54">
        <f t="shared" ref="H12:H23" si="6">SUM(D12:G12)</f>
        <v>846912</v>
      </c>
      <c r="I12" s="58">
        <f t="shared" ref="I12:I23" si="7">C12-H12</f>
        <v>-17812</v>
      </c>
      <c r="J12" s="55">
        <f t="shared" ref="J12:J24" si="8">IF(C12&gt;0, I12/C12, 0)</f>
        <v>-2.1483536364732842E-2</v>
      </c>
      <c r="K12" s="54">
        <v>23300</v>
      </c>
      <c r="L12" s="56" t="s">
        <v>270</v>
      </c>
      <c r="M12" s="57" t="str">
        <f t="shared" ref="M12:M23" si="9">IF(C12=0, "⏳ UPCOMING", IF(I12&lt;0, "🔴 DEFICIT", IF(I12&gt;=100000, "🟢 HIGH SURPLUS", "🟢 SURPLUS")))</f>
        <v>🔴 DEFICIT</v>
      </c>
    </row>
    <row r="13" spans="2:13" ht="20.25" customHeight="1" x14ac:dyDescent="0.25">
      <c r="B13" s="59">
        <v>46235</v>
      </c>
      <c r="C13" s="60">
        <v>828100</v>
      </c>
      <c r="D13" s="60">
        <v>7900</v>
      </c>
      <c r="E13" s="60">
        <v>260100</v>
      </c>
      <c r="F13" s="60">
        <v>450230</v>
      </c>
      <c r="G13" s="60">
        <v>0</v>
      </c>
      <c r="H13" s="60">
        <f t="shared" si="6"/>
        <v>718230</v>
      </c>
      <c r="I13" s="64">
        <f t="shared" si="7"/>
        <v>109870</v>
      </c>
      <c r="J13" s="61">
        <f t="shared" si="8"/>
        <v>0.13267721289699311</v>
      </c>
      <c r="K13" s="60">
        <v>34500</v>
      </c>
      <c r="L13" s="62">
        <f t="shared" ref="L13:L23" si="10">IF(AND(H13&gt;0, H12&gt;0), H13-H12, 0)</f>
        <v>-128682</v>
      </c>
      <c r="M13" s="63" t="str">
        <f t="shared" si="9"/>
        <v>🟢 HIGH SURPLUS</v>
      </c>
    </row>
    <row r="14" spans="2:13" ht="20.25" customHeight="1" x14ac:dyDescent="0.25">
      <c r="B14" s="53">
        <v>46266</v>
      </c>
      <c r="C14" s="54">
        <v>59500</v>
      </c>
      <c r="D14" s="54">
        <v>1100</v>
      </c>
      <c r="E14" s="54">
        <v>0</v>
      </c>
      <c r="F14" s="54">
        <v>0</v>
      </c>
      <c r="G14" s="54">
        <v>68300</v>
      </c>
      <c r="H14" s="54">
        <f t="shared" si="6"/>
        <v>69400</v>
      </c>
      <c r="I14" s="54">
        <f t="shared" si="7"/>
        <v>-9900</v>
      </c>
      <c r="J14" s="55">
        <f t="shared" si="8"/>
        <v>-0.16638655462184873</v>
      </c>
      <c r="K14" s="54">
        <v>0</v>
      </c>
      <c r="L14" s="56">
        <f t="shared" si="10"/>
        <v>-648830</v>
      </c>
      <c r="M14" s="57" t="str">
        <f t="shared" si="9"/>
        <v>🔴 DEFICIT</v>
      </c>
    </row>
    <row r="15" spans="2:13" ht="20.25" customHeight="1" x14ac:dyDescent="0.25">
      <c r="B15" s="59">
        <v>46296</v>
      </c>
      <c r="C15" s="60">
        <v>0</v>
      </c>
      <c r="D15" s="60">
        <v>0</v>
      </c>
      <c r="E15" s="60">
        <v>0</v>
      </c>
      <c r="F15" s="60">
        <v>0</v>
      </c>
      <c r="G15" s="60">
        <v>0</v>
      </c>
      <c r="H15" s="60">
        <f t="shared" si="6"/>
        <v>0</v>
      </c>
      <c r="I15" s="60">
        <f t="shared" si="7"/>
        <v>0</v>
      </c>
      <c r="J15" s="61">
        <f t="shared" si="8"/>
        <v>0</v>
      </c>
      <c r="K15" s="60">
        <v>0</v>
      </c>
      <c r="L15" s="62">
        <f t="shared" si="10"/>
        <v>0</v>
      </c>
      <c r="M15" s="63" t="str">
        <f t="shared" si="9"/>
        <v>⏳ UPCOMING</v>
      </c>
    </row>
    <row r="16" spans="2:13" ht="20.25" customHeight="1" x14ac:dyDescent="0.25">
      <c r="B16" s="53">
        <v>46327</v>
      </c>
      <c r="C16" s="54">
        <v>0</v>
      </c>
      <c r="D16" s="54">
        <v>0</v>
      </c>
      <c r="E16" s="54">
        <v>0</v>
      </c>
      <c r="F16" s="54">
        <v>0</v>
      </c>
      <c r="G16" s="54">
        <v>0</v>
      </c>
      <c r="H16" s="54">
        <f t="shared" si="6"/>
        <v>0</v>
      </c>
      <c r="I16" s="54">
        <f t="shared" si="7"/>
        <v>0</v>
      </c>
      <c r="J16" s="55">
        <f t="shared" si="8"/>
        <v>0</v>
      </c>
      <c r="K16" s="54">
        <v>0</v>
      </c>
      <c r="L16" s="56">
        <f t="shared" si="10"/>
        <v>0</v>
      </c>
      <c r="M16" s="57" t="str">
        <f t="shared" si="9"/>
        <v>⏳ UPCOMING</v>
      </c>
    </row>
    <row r="17" spans="2:13" ht="20.25" customHeight="1" x14ac:dyDescent="0.25">
      <c r="B17" s="59">
        <v>46357</v>
      </c>
      <c r="C17" s="60">
        <v>0</v>
      </c>
      <c r="D17" s="60">
        <v>0</v>
      </c>
      <c r="E17" s="60">
        <v>0</v>
      </c>
      <c r="F17" s="60">
        <v>0</v>
      </c>
      <c r="G17" s="60">
        <v>0</v>
      </c>
      <c r="H17" s="60">
        <f t="shared" si="6"/>
        <v>0</v>
      </c>
      <c r="I17" s="60">
        <f t="shared" si="7"/>
        <v>0</v>
      </c>
      <c r="J17" s="61">
        <f t="shared" si="8"/>
        <v>0</v>
      </c>
      <c r="K17" s="60">
        <v>0</v>
      </c>
      <c r="L17" s="62">
        <f t="shared" si="10"/>
        <v>0</v>
      </c>
      <c r="M17" s="63" t="str">
        <f t="shared" si="9"/>
        <v>⏳ UPCOMING</v>
      </c>
    </row>
    <row r="18" spans="2:13" ht="20.25" customHeight="1" x14ac:dyDescent="0.25">
      <c r="B18" s="53">
        <v>46388</v>
      </c>
      <c r="C18" s="54">
        <v>0</v>
      </c>
      <c r="D18" s="54">
        <v>0</v>
      </c>
      <c r="E18" s="54">
        <v>0</v>
      </c>
      <c r="F18" s="54">
        <v>0</v>
      </c>
      <c r="G18" s="54">
        <v>0</v>
      </c>
      <c r="H18" s="54">
        <f t="shared" si="6"/>
        <v>0</v>
      </c>
      <c r="I18" s="54">
        <f t="shared" si="7"/>
        <v>0</v>
      </c>
      <c r="J18" s="55">
        <f t="shared" si="8"/>
        <v>0</v>
      </c>
      <c r="K18" s="54">
        <v>0</v>
      </c>
      <c r="L18" s="56">
        <f t="shared" si="10"/>
        <v>0</v>
      </c>
      <c r="M18" s="57" t="str">
        <f t="shared" si="9"/>
        <v>⏳ UPCOMING</v>
      </c>
    </row>
    <row r="19" spans="2:13" ht="20.25" customHeight="1" x14ac:dyDescent="0.25">
      <c r="B19" s="59">
        <v>46419</v>
      </c>
      <c r="C19" s="60">
        <v>0</v>
      </c>
      <c r="D19" s="60">
        <v>0</v>
      </c>
      <c r="E19" s="60">
        <v>0</v>
      </c>
      <c r="F19" s="60">
        <v>0</v>
      </c>
      <c r="G19" s="60">
        <v>0</v>
      </c>
      <c r="H19" s="60">
        <f t="shared" si="6"/>
        <v>0</v>
      </c>
      <c r="I19" s="60">
        <f t="shared" si="7"/>
        <v>0</v>
      </c>
      <c r="J19" s="61">
        <f t="shared" si="8"/>
        <v>0</v>
      </c>
      <c r="K19" s="60">
        <v>0</v>
      </c>
      <c r="L19" s="62">
        <f t="shared" si="10"/>
        <v>0</v>
      </c>
      <c r="M19" s="63" t="str">
        <f t="shared" si="9"/>
        <v>⏳ UPCOMING</v>
      </c>
    </row>
    <row r="20" spans="2:13" ht="20.25" customHeight="1" x14ac:dyDescent="0.25">
      <c r="B20" s="53">
        <v>46447</v>
      </c>
      <c r="C20" s="54">
        <v>0</v>
      </c>
      <c r="D20" s="54">
        <v>0</v>
      </c>
      <c r="E20" s="54">
        <v>0</v>
      </c>
      <c r="F20" s="54">
        <v>0</v>
      </c>
      <c r="G20" s="54">
        <v>0</v>
      </c>
      <c r="H20" s="54">
        <f t="shared" si="6"/>
        <v>0</v>
      </c>
      <c r="I20" s="54">
        <f t="shared" si="7"/>
        <v>0</v>
      </c>
      <c r="J20" s="55">
        <f t="shared" si="8"/>
        <v>0</v>
      </c>
      <c r="K20" s="54">
        <v>0</v>
      </c>
      <c r="L20" s="56">
        <f t="shared" si="10"/>
        <v>0</v>
      </c>
      <c r="M20" s="57" t="str">
        <f t="shared" si="9"/>
        <v>⏳ UPCOMING</v>
      </c>
    </row>
    <row r="21" spans="2:13" ht="20.25" customHeight="1" x14ac:dyDescent="0.25">
      <c r="B21" s="59">
        <v>46478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60">
        <f t="shared" si="6"/>
        <v>0</v>
      </c>
      <c r="I21" s="60">
        <f t="shared" si="7"/>
        <v>0</v>
      </c>
      <c r="J21" s="61">
        <f t="shared" si="8"/>
        <v>0</v>
      </c>
      <c r="K21" s="60">
        <v>0</v>
      </c>
      <c r="L21" s="62">
        <f t="shared" si="10"/>
        <v>0</v>
      </c>
      <c r="M21" s="63" t="str">
        <f t="shared" si="9"/>
        <v>⏳ UPCOMING</v>
      </c>
    </row>
    <row r="22" spans="2:13" ht="20.25" customHeight="1" x14ac:dyDescent="0.25">
      <c r="B22" s="53">
        <v>46508</v>
      </c>
      <c r="C22" s="54">
        <v>0</v>
      </c>
      <c r="D22" s="54">
        <v>0</v>
      </c>
      <c r="E22" s="54">
        <v>0</v>
      </c>
      <c r="F22" s="54">
        <v>0</v>
      </c>
      <c r="G22" s="54">
        <v>0</v>
      </c>
      <c r="H22" s="54">
        <f t="shared" si="6"/>
        <v>0</v>
      </c>
      <c r="I22" s="54">
        <f t="shared" si="7"/>
        <v>0</v>
      </c>
      <c r="J22" s="55">
        <f t="shared" si="8"/>
        <v>0</v>
      </c>
      <c r="K22" s="54">
        <v>0</v>
      </c>
      <c r="L22" s="56">
        <f t="shared" si="10"/>
        <v>0</v>
      </c>
      <c r="M22" s="57" t="str">
        <f t="shared" si="9"/>
        <v>⏳ UPCOMING</v>
      </c>
    </row>
    <row r="23" spans="2:13" ht="20.25" customHeight="1" x14ac:dyDescent="0.25">
      <c r="B23" s="59">
        <v>46539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60">
        <f t="shared" si="6"/>
        <v>0</v>
      </c>
      <c r="I23" s="60">
        <f t="shared" si="7"/>
        <v>0</v>
      </c>
      <c r="J23" s="61">
        <f t="shared" si="8"/>
        <v>0</v>
      </c>
      <c r="K23" s="60">
        <v>0</v>
      </c>
      <c r="L23" s="62">
        <f t="shared" si="10"/>
        <v>0</v>
      </c>
      <c r="M23" s="63" t="str">
        <f t="shared" si="9"/>
        <v>⏳ UPCOMING</v>
      </c>
    </row>
    <row r="24" spans="2:13" ht="21.95" customHeight="1" x14ac:dyDescent="0.25">
      <c r="B24" s="67" t="s">
        <v>388</v>
      </c>
      <c r="C24" s="68">
        <f t="shared" ref="C24:I24" si="11">SUM(C12:C23)</f>
        <v>1716700</v>
      </c>
      <c r="D24" s="68">
        <f t="shared" si="11"/>
        <v>123242</v>
      </c>
      <c r="E24" s="68">
        <f t="shared" si="11"/>
        <v>551200</v>
      </c>
      <c r="F24" s="68">
        <f t="shared" si="11"/>
        <v>891800</v>
      </c>
      <c r="G24" s="68">
        <f t="shared" si="11"/>
        <v>68300</v>
      </c>
      <c r="H24" s="68">
        <f t="shared" si="11"/>
        <v>1634542</v>
      </c>
      <c r="I24" s="68">
        <f t="shared" si="11"/>
        <v>82158</v>
      </c>
      <c r="J24" s="69">
        <f t="shared" si="8"/>
        <v>4.7858099842721498E-2</v>
      </c>
      <c r="K24" s="68">
        <f>SUM(K12:K23)</f>
        <v>57800</v>
      </c>
      <c r="L24" s="68">
        <f>SUM(L13:L23)</f>
        <v>-777512</v>
      </c>
      <c r="M24" s="70" t="str">
        <f>IF(I24&gt;0, "🟢 NET SURPLUS", "🔴 NET DEFICIT")</f>
        <v>🟢 NET SURPLUS</v>
      </c>
    </row>
    <row r="25" spans="2:13" ht="20.25" customHeight="1" x14ac:dyDescent="0.25">
      <c r="B25" s="71" t="s">
        <v>389</v>
      </c>
      <c r="C25" s="72">
        <f t="shared" ref="C25:K25" si="12">AVERAGE(C12:C13)</f>
        <v>828600</v>
      </c>
      <c r="D25" s="72">
        <f t="shared" si="12"/>
        <v>61071</v>
      </c>
      <c r="E25" s="72">
        <f t="shared" si="12"/>
        <v>275600</v>
      </c>
      <c r="F25" s="72">
        <f t="shared" si="12"/>
        <v>445900</v>
      </c>
      <c r="G25" s="72">
        <f t="shared" si="12"/>
        <v>0</v>
      </c>
      <c r="H25" s="72">
        <f t="shared" si="12"/>
        <v>782571</v>
      </c>
      <c r="I25" s="72">
        <f t="shared" si="12"/>
        <v>46029</v>
      </c>
      <c r="J25" s="73">
        <f t="shared" si="12"/>
        <v>5.5596838266130134E-2</v>
      </c>
      <c r="K25" s="72">
        <f t="shared" si="12"/>
        <v>28900</v>
      </c>
      <c r="L25" s="74" t="s">
        <v>270</v>
      </c>
      <c r="M25" s="75" t="s">
        <v>390</v>
      </c>
    </row>
    <row r="27" spans="2:13" ht="9.9499999999999993" customHeight="1" x14ac:dyDescent="0.25"/>
    <row r="28" spans="2:13" ht="24" customHeight="1" x14ac:dyDescent="0.25">
      <c r="B28" s="210" t="s">
        <v>391</v>
      </c>
      <c r="C28" s="210"/>
      <c r="D28" s="210"/>
      <c r="E28" s="210"/>
      <c r="F28" s="210"/>
      <c r="G28" s="210"/>
      <c r="H28" s="210"/>
      <c r="I28" s="210"/>
      <c r="J28" s="210"/>
      <c r="K28" s="210"/>
      <c r="L28" s="210"/>
      <c r="M28" s="210"/>
    </row>
    <row r="29" spans="2:13" ht="26.25" customHeight="1" x14ac:dyDescent="0.25">
      <c r="B29" s="76" t="s">
        <v>392</v>
      </c>
      <c r="C29" s="76" t="s">
        <v>393</v>
      </c>
      <c r="D29" s="76" t="s">
        <v>394</v>
      </c>
      <c r="E29" s="76" t="s">
        <v>395</v>
      </c>
      <c r="F29" s="76" t="s">
        <v>396</v>
      </c>
      <c r="G29" s="76" t="s">
        <v>397</v>
      </c>
      <c r="H29" s="76" t="s">
        <v>398</v>
      </c>
      <c r="I29" s="214" t="s">
        <v>399</v>
      </c>
      <c r="J29" s="214"/>
      <c r="K29" s="214"/>
      <c r="L29" s="214"/>
      <c r="M29" s="214"/>
    </row>
    <row r="30" spans="2:13" ht="21.95" customHeight="1" x14ac:dyDescent="0.25">
      <c r="B30" s="77" t="s">
        <v>400</v>
      </c>
      <c r="C30" s="54">
        <v>291100</v>
      </c>
      <c r="D30" s="54">
        <v>260100</v>
      </c>
      <c r="E30" s="54">
        <f t="shared" ref="E30:E37" si="13">D30-C30</f>
        <v>-31000</v>
      </c>
      <c r="F30" s="55">
        <f t="shared" ref="F30:F36" si="14">IF(C30&gt;0, (D30-C30)/C30, 0)</f>
        <v>-0.10649261422191687</v>
      </c>
      <c r="G30" s="55">
        <f t="shared" ref="G30:G36" si="15">D30/$D$37</f>
        <v>0.36214026147612882</v>
      </c>
      <c r="H30" s="57" t="s">
        <v>401</v>
      </c>
      <c r="I30" s="206" t="s">
        <v>402</v>
      </c>
      <c r="J30" s="206"/>
      <c r="K30" s="206"/>
      <c r="L30" s="206"/>
      <c r="M30" s="206"/>
    </row>
    <row r="31" spans="2:13" ht="21.95" customHeight="1" x14ac:dyDescent="0.25">
      <c r="B31" s="78" t="s">
        <v>403</v>
      </c>
      <c r="C31" s="60">
        <v>212200</v>
      </c>
      <c r="D31" s="60">
        <v>201530</v>
      </c>
      <c r="E31" s="60">
        <f t="shared" si="13"/>
        <v>-10670</v>
      </c>
      <c r="F31" s="61">
        <f t="shared" si="14"/>
        <v>-5.0282752120640907E-2</v>
      </c>
      <c r="G31" s="61">
        <f t="shared" si="15"/>
        <v>0.28059256784038539</v>
      </c>
      <c r="H31" s="63" t="s">
        <v>404</v>
      </c>
      <c r="I31" s="208" t="s">
        <v>405</v>
      </c>
      <c r="J31" s="208"/>
      <c r="K31" s="208"/>
      <c r="L31" s="208"/>
      <c r="M31" s="208"/>
    </row>
    <row r="32" spans="2:13" ht="21.95" customHeight="1" x14ac:dyDescent="0.25">
      <c r="B32" s="77" t="s">
        <v>406</v>
      </c>
      <c r="C32" s="54">
        <v>135270</v>
      </c>
      <c r="D32" s="54">
        <v>123800</v>
      </c>
      <c r="E32" s="54">
        <f t="shared" si="13"/>
        <v>-11470</v>
      </c>
      <c r="F32" s="55">
        <f t="shared" si="14"/>
        <v>-8.4793376210541879E-2</v>
      </c>
      <c r="G32" s="55">
        <f t="shared" si="15"/>
        <v>0.172368182894059</v>
      </c>
      <c r="H32" s="57" t="s">
        <v>401</v>
      </c>
      <c r="I32" s="206" t="s">
        <v>407</v>
      </c>
      <c r="J32" s="206"/>
      <c r="K32" s="206"/>
      <c r="L32" s="206"/>
      <c r="M32" s="206"/>
    </row>
    <row r="33" spans="2:13" ht="21.95" customHeight="1" x14ac:dyDescent="0.25">
      <c r="B33" s="78" t="s">
        <v>408</v>
      </c>
      <c r="C33" s="60">
        <v>60000</v>
      </c>
      <c r="D33" s="60">
        <v>45000</v>
      </c>
      <c r="E33" s="60">
        <f t="shared" si="13"/>
        <v>-15000</v>
      </c>
      <c r="F33" s="61">
        <f t="shared" si="14"/>
        <v>-0.25</v>
      </c>
      <c r="G33" s="61">
        <f t="shared" si="15"/>
        <v>6.265402447683889E-2</v>
      </c>
      <c r="H33" s="63" t="s">
        <v>401</v>
      </c>
      <c r="I33" s="208" t="s">
        <v>409</v>
      </c>
      <c r="J33" s="208"/>
      <c r="K33" s="208"/>
      <c r="L33" s="208"/>
      <c r="M33" s="208"/>
    </row>
    <row r="34" spans="2:13" ht="21.95" customHeight="1" x14ac:dyDescent="0.25">
      <c r="B34" s="77" t="s">
        <v>410</v>
      </c>
      <c r="C34" s="54">
        <v>6500</v>
      </c>
      <c r="D34" s="54">
        <v>9000</v>
      </c>
      <c r="E34" s="54">
        <f t="shared" si="13"/>
        <v>2500</v>
      </c>
      <c r="F34" s="55">
        <f t="shared" si="14"/>
        <v>0.38461538461538464</v>
      </c>
      <c r="G34" s="55">
        <f t="shared" si="15"/>
        <v>1.2530804895367779E-2</v>
      </c>
      <c r="H34" s="57" t="s">
        <v>411</v>
      </c>
      <c r="I34" s="206" t="s">
        <v>412</v>
      </c>
      <c r="J34" s="206"/>
      <c r="K34" s="206"/>
      <c r="L34" s="206"/>
      <c r="M34" s="206"/>
    </row>
    <row r="35" spans="2:13" ht="21.95" customHeight="1" x14ac:dyDescent="0.25">
      <c r="B35" s="79" t="s">
        <v>413</v>
      </c>
      <c r="C35" s="80">
        <v>25000</v>
      </c>
      <c r="D35" s="80">
        <v>70900</v>
      </c>
      <c r="E35" s="80">
        <f t="shared" si="13"/>
        <v>45900</v>
      </c>
      <c r="F35" s="81">
        <f t="shared" si="14"/>
        <v>1.8360000000000001</v>
      </c>
      <c r="G35" s="81">
        <f t="shared" si="15"/>
        <v>9.8714896342397287E-2</v>
      </c>
      <c r="H35" s="82" t="s">
        <v>414</v>
      </c>
      <c r="I35" s="211" t="s">
        <v>415</v>
      </c>
      <c r="J35" s="211"/>
      <c r="K35" s="211"/>
      <c r="L35" s="211"/>
      <c r="M35" s="211"/>
    </row>
    <row r="36" spans="2:13" ht="21.95" customHeight="1" x14ac:dyDescent="0.25">
      <c r="B36" s="83" t="s">
        <v>416</v>
      </c>
      <c r="C36" s="84">
        <v>114242</v>
      </c>
      <c r="D36" s="84">
        <v>7900</v>
      </c>
      <c r="E36" s="84">
        <f t="shared" si="13"/>
        <v>-106342</v>
      </c>
      <c r="F36" s="85">
        <f t="shared" si="14"/>
        <v>-0.93084854957021057</v>
      </c>
      <c r="G36" s="85">
        <f t="shared" si="15"/>
        <v>1.0999262074822828E-2</v>
      </c>
      <c r="H36" s="86" t="s">
        <v>417</v>
      </c>
      <c r="I36" s="212" t="s">
        <v>418</v>
      </c>
      <c r="J36" s="212"/>
      <c r="K36" s="212"/>
      <c r="L36" s="212"/>
      <c r="M36" s="212"/>
    </row>
    <row r="37" spans="2:13" ht="21.95" customHeight="1" x14ac:dyDescent="0.25">
      <c r="B37" s="65" t="s">
        <v>419</v>
      </c>
      <c r="C37" s="66">
        <f>SUM(C30:C36)</f>
        <v>844312</v>
      </c>
      <c r="D37" s="66">
        <f>SUM(D30:D36)</f>
        <v>718230</v>
      </c>
      <c r="E37" s="66">
        <f t="shared" si="13"/>
        <v>-126082</v>
      </c>
      <c r="F37" s="87">
        <f>(D37-C37)/C37</f>
        <v>-0.14933105297567723</v>
      </c>
      <c r="G37" s="87">
        <f>SUM(G30:G36)</f>
        <v>0.99999999999999989</v>
      </c>
      <c r="H37" s="88" t="str">
        <f>IF(E37&lt;0, "🟢 COST REDUCED", "⚠️ COST EXPANDED")</f>
        <v>🟢 COST REDUCED</v>
      </c>
      <c r="I37" s="213" t="s">
        <v>420</v>
      </c>
      <c r="J37" s="213"/>
      <c r="K37" s="213"/>
      <c r="L37" s="213"/>
      <c r="M37" s="213"/>
    </row>
    <row r="38" spans="2:13" ht="9.9499999999999993" customHeight="1" x14ac:dyDescent="0.25"/>
    <row r="39" spans="2:13" ht="24" customHeight="1" x14ac:dyDescent="0.25">
      <c r="B39" s="210" t="s">
        <v>421</v>
      </c>
      <c r="C39" s="210"/>
      <c r="D39" s="210"/>
      <c r="E39" s="210"/>
      <c r="F39" s="210"/>
      <c r="G39" s="210"/>
      <c r="H39" s="210"/>
      <c r="I39" s="210"/>
      <c r="J39" s="210"/>
      <c r="K39" s="210"/>
      <c r="L39" s="210"/>
      <c r="M39" s="210"/>
    </row>
    <row r="40" spans="2:13" ht="26.25" customHeight="1" x14ac:dyDescent="0.25">
      <c r="B40" s="76" t="s">
        <v>422</v>
      </c>
      <c r="C40" s="76" t="s">
        <v>393</v>
      </c>
      <c r="D40" s="76" t="s">
        <v>394</v>
      </c>
      <c r="E40" s="76" t="s">
        <v>423</v>
      </c>
      <c r="F40" s="214" t="s">
        <v>424</v>
      </c>
      <c r="G40" s="214"/>
      <c r="H40" s="214" t="s">
        <v>425</v>
      </c>
      <c r="I40" s="214"/>
      <c r="J40" s="214"/>
      <c r="K40" s="214"/>
      <c r="L40" s="214"/>
      <c r="M40" s="214"/>
    </row>
    <row r="41" spans="2:13" ht="21.95" customHeight="1" x14ac:dyDescent="0.25">
      <c r="B41" s="77" t="s">
        <v>426</v>
      </c>
      <c r="C41" s="54">
        <v>-17812</v>
      </c>
      <c r="D41" s="54">
        <v>109870</v>
      </c>
      <c r="E41" s="54">
        <f>D41-C41</f>
        <v>127682</v>
      </c>
      <c r="F41" s="209" t="s">
        <v>427</v>
      </c>
      <c r="G41" s="209"/>
      <c r="H41" s="206" t="s">
        <v>428</v>
      </c>
      <c r="I41" s="206"/>
      <c r="J41" s="206"/>
      <c r="K41" s="206"/>
      <c r="L41" s="206"/>
      <c r="M41" s="206"/>
    </row>
    <row r="42" spans="2:13" ht="21.95" customHeight="1" x14ac:dyDescent="0.25">
      <c r="B42" s="78" t="s">
        <v>429</v>
      </c>
      <c r="C42" s="61">
        <v>-2.1499999999999998E-2</v>
      </c>
      <c r="D42" s="61">
        <v>0.13270000000000001</v>
      </c>
      <c r="E42" s="61">
        <f>D42-C42</f>
        <v>0.1542</v>
      </c>
      <c r="F42" s="207" t="s">
        <v>430</v>
      </c>
      <c r="G42" s="207"/>
      <c r="H42" s="208" t="s">
        <v>431</v>
      </c>
      <c r="I42" s="208"/>
      <c r="J42" s="208"/>
      <c r="K42" s="208"/>
      <c r="L42" s="208"/>
      <c r="M42" s="208"/>
    </row>
    <row r="43" spans="2:13" ht="21.95" customHeight="1" x14ac:dyDescent="0.25">
      <c r="B43" s="77" t="s">
        <v>432</v>
      </c>
      <c r="C43" s="89">
        <v>-21.48</v>
      </c>
      <c r="D43" s="89">
        <v>132.68</v>
      </c>
      <c r="E43" s="89">
        <f>D43-C43</f>
        <v>154.16</v>
      </c>
      <c r="F43" s="209" t="s">
        <v>433</v>
      </c>
      <c r="G43" s="209"/>
      <c r="H43" s="206" t="s">
        <v>434</v>
      </c>
      <c r="I43" s="206"/>
      <c r="J43" s="206"/>
      <c r="K43" s="206"/>
      <c r="L43" s="206"/>
      <c r="M43" s="206"/>
    </row>
    <row r="44" spans="2:13" ht="21.95" customHeight="1" x14ac:dyDescent="0.25">
      <c r="B44" s="78" t="s">
        <v>435</v>
      </c>
      <c r="C44" s="60">
        <v>114242</v>
      </c>
      <c r="D44" s="60">
        <v>7900</v>
      </c>
      <c r="E44" s="60">
        <f>C44-D44</f>
        <v>106342</v>
      </c>
      <c r="F44" s="207" t="s">
        <v>436</v>
      </c>
      <c r="G44" s="207"/>
      <c r="H44" s="208" t="s">
        <v>437</v>
      </c>
      <c r="I44" s="208"/>
      <c r="J44" s="208"/>
      <c r="K44" s="208"/>
      <c r="L44" s="208"/>
      <c r="M44" s="208"/>
    </row>
    <row r="45" spans="2:13" ht="21.95" customHeight="1" x14ac:dyDescent="0.25">
      <c r="B45" s="77" t="s">
        <v>438</v>
      </c>
      <c r="C45" s="55">
        <v>1.0215000000000001</v>
      </c>
      <c r="D45" s="55">
        <v>0.86729999999999996</v>
      </c>
      <c r="E45" s="55">
        <f>D45-C45</f>
        <v>-0.15420000000000011</v>
      </c>
      <c r="F45" s="209" t="s">
        <v>439</v>
      </c>
      <c r="G45" s="209"/>
      <c r="H45" s="206" t="s">
        <v>440</v>
      </c>
      <c r="I45" s="206"/>
      <c r="J45" s="206"/>
      <c r="K45" s="206"/>
      <c r="L45" s="206"/>
      <c r="M45" s="206"/>
    </row>
    <row r="46" spans="2:13" ht="21.95" customHeight="1" x14ac:dyDescent="0.25">
      <c r="B46" s="78" t="s">
        <v>441</v>
      </c>
      <c r="C46" s="60">
        <v>23300</v>
      </c>
      <c r="D46" s="60">
        <v>34500</v>
      </c>
      <c r="E46" s="60">
        <f>D46-C46</f>
        <v>11200</v>
      </c>
      <c r="F46" s="207" t="s">
        <v>442</v>
      </c>
      <c r="G46" s="207"/>
      <c r="H46" s="208" t="s">
        <v>443</v>
      </c>
      <c r="I46" s="208"/>
      <c r="J46" s="208"/>
      <c r="K46" s="208"/>
      <c r="L46" s="208"/>
      <c r="M46" s="208"/>
    </row>
    <row r="48" spans="2:13" ht="9.9499999999999993" customHeight="1" x14ac:dyDescent="0.25"/>
    <row r="49" spans="2:13" ht="24" customHeight="1" x14ac:dyDescent="0.25">
      <c r="B49" s="210" t="s">
        <v>444</v>
      </c>
      <c r="C49" s="210"/>
      <c r="D49" s="210"/>
      <c r="E49" s="210"/>
      <c r="F49" s="210"/>
      <c r="G49" s="210"/>
      <c r="H49" s="210"/>
      <c r="I49" s="210"/>
      <c r="J49" s="210"/>
      <c r="K49" s="210"/>
      <c r="L49" s="210"/>
      <c r="M49" s="210"/>
    </row>
    <row r="50" spans="2:13" ht="24" customHeight="1" x14ac:dyDescent="0.25">
      <c r="B50" s="205" t="s">
        <v>445</v>
      </c>
      <c r="C50" s="205"/>
      <c r="D50" s="206" t="s">
        <v>446</v>
      </c>
      <c r="E50" s="206"/>
      <c r="F50" s="206"/>
      <c r="G50" s="206"/>
      <c r="H50" s="206"/>
      <c r="I50" s="206"/>
      <c r="J50" s="206"/>
      <c r="K50" s="206"/>
      <c r="L50" s="206"/>
      <c r="M50" s="206"/>
    </row>
    <row r="51" spans="2:13" ht="24" customHeight="1" x14ac:dyDescent="0.25">
      <c r="B51" s="205" t="s">
        <v>447</v>
      </c>
      <c r="C51" s="205"/>
      <c r="D51" s="206" t="s">
        <v>448</v>
      </c>
      <c r="E51" s="206"/>
      <c r="F51" s="206"/>
      <c r="G51" s="206"/>
      <c r="H51" s="206"/>
      <c r="I51" s="206"/>
      <c r="J51" s="206"/>
      <c r="K51" s="206"/>
      <c r="L51" s="206"/>
      <c r="M51" s="206"/>
    </row>
    <row r="52" spans="2:13" ht="24" customHeight="1" x14ac:dyDescent="0.25">
      <c r="B52" s="205" t="s">
        <v>449</v>
      </c>
      <c r="C52" s="205"/>
      <c r="D52" s="206" t="s">
        <v>450</v>
      </c>
      <c r="E52" s="206"/>
      <c r="F52" s="206"/>
      <c r="G52" s="206"/>
      <c r="H52" s="206"/>
      <c r="I52" s="206"/>
      <c r="J52" s="206"/>
      <c r="K52" s="206"/>
      <c r="L52" s="206"/>
      <c r="M52" s="206"/>
    </row>
    <row r="53" spans="2:13" ht="24" customHeight="1" x14ac:dyDescent="0.25">
      <c r="B53" s="205" t="s">
        <v>451</v>
      </c>
      <c r="C53" s="205"/>
      <c r="D53" s="206" t="s">
        <v>452</v>
      </c>
      <c r="E53" s="206"/>
      <c r="F53" s="206"/>
      <c r="G53" s="206"/>
      <c r="H53" s="206"/>
      <c r="I53" s="206"/>
      <c r="J53" s="206"/>
      <c r="K53" s="206"/>
      <c r="L53" s="206"/>
      <c r="M53" s="206"/>
    </row>
    <row r="54" spans="2:13" ht="15.95" customHeight="1" x14ac:dyDescent="0.25"/>
  </sheetData>
  <mergeCells count="55">
    <mergeCell ref="B2:M2"/>
    <mergeCell ref="B3:M3"/>
    <mergeCell ref="B5:C5"/>
    <mergeCell ref="B6:C6"/>
    <mergeCell ref="B7:C7"/>
    <mergeCell ref="D5:E5"/>
    <mergeCell ref="D6:E6"/>
    <mergeCell ref="D7:E7"/>
    <mergeCell ref="F5:G5"/>
    <mergeCell ref="F6:G6"/>
    <mergeCell ref="I29:M29"/>
    <mergeCell ref="F7:G7"/>
    <mergeCell ref="H5:I5"/>
    <mergeCell ref="H6:I6"/>
    <mergeCell ref="H7:I7"/>
    <mergeCell ref="J5:K5"/>
    <mergeCell ref="J6:K6"/>
    <mergeCell ref="J7:K7"/>
    <mergeCell ref="L5:M5"/>
    <mergeCell ref="L6:M6"/>
    <mergeCell ref="L7:M7"/>
    <mergeCell ref="B10:M10"/>
    <mergeCell ref="B28:M28"/>
    <mergeCell ref="F41:G41"/>
    <mergeCell ref="H41:M41"/>
    <mergeCell ref="I30:M30"/>
    <mergeCell ref="I31:M31"/>
    <mergeCell ref="I32:M32"/>
    <mergeCell ref="I33:M33"/>
    <mergeCell ref="I34:M34"/>
    <mergeCell ref="I35:M35"/>
    <mergeCell ref="I36:M36"/>
    <mergeCell ref="I37:M37"/>
    <mergeCell ref="B39:M39"/>
    <mergeCell ref="F40:G40"/>
    <mergeCell ref="H40:M40"/>
    <mergeCell ref="B50:C50"/>
    <mergeCell ref="D50:M50"/>
    <mergeCell ref="F42:G42"/>
    <mergeCell ref="H42:M42"/>
    <mergeCell ref="F43:G43"/>
    <mergeCell ref="H43:M43"/>
    <mergeCell ref="F44:G44"/>
    <mergeCell ref="H44:M44"/>
    <mergeCell ref="F45:G45"/>
    <mergeCell ref="H45:M45"/>
    <mergeCell ref="F46:G46"/>
    <mergeCell ref="H46:M46"/>
    <mergeCell ref="B49:M49"/>
    <mergeCell ref="B51:C51"/>
    <mergeCell ref="D51:M51"/>
    <mergeCell ref="B52:C52"/>
    <mergeCell ref="D52:M52"/>
    <mergeCell ref="B53:C53"/>
    <mergeCell ref="D53:M5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Z133"/>
  <sheetViews>
    <sheetView zoomScale="85" zoomScaleNormal="85" workbookViewId="0">
      <selection activeCell="D27" sqref="D27"/>
    </sheetView>
  </sheetViews>
  <sheetFormatPr defaultColWidth="11.42578125" defaultRowHeight="15" x14ac:dyDescent="0.25"/>
  <cols>
    <col min="1" max="1" width="19.85546875" bestFit="1" customWidth="1"/>
    <col min="2" max="2" width="15" bestFit="1" customWidth="1"/>
    <col min="3" max="3" width="10.85546875" style="3" bestFit="1" customWidth="1"/>
    <col min="4" max="4" width="11.85546875" style="3" bestFit="1" customWidth="1"/>
    <col min="5" max="5" width="18.140625" style="3" bestFit="1" customWidth="1"/>
    <col min="6" max="6" width="11.85546875" bestFit="1" customWidth="1"/>
    <col min="7" max="7" width="12.7109375" bestFit="1" customWidth="1"/>
    <col min="8" max="8" width="9.42578125" bestFit="1" customWidth="1"/>
    <col min="9" max="9" width="5.42578125" bestFit="1" customWidth="1"/>
    <col min="10" max="10" width="11.85546875" bestFit="1" customWidth="1"/>
    <col min="11" max="11" width="15.42578125" bestFit="1" customWidth="1"/>
    <col min="12" max="12" width="9.42578125" bestFit="1" customWidth="1"/>
    <col min="13" max="13" width="5.42578125" bestFit="1" customWidth="1"/>
    <col min="14" max="15" width="11.85546875" bestFit="1" customWidth="1"/>
    <col min="16" max="16" width="9.42578125" bestFit="1" customWidth="1"/>
    <col min="17" max="17" width="5.42578125" bestFit="1" customWidth="1"/>
    <col min="18" max="18" width="11.85546875" bestFit="1" customWidth="1"/>
    <col min="19" max="19" width="13.140625" bestFit="1" customWidth="1"/>
    <col min="20" max="20" width="9.42578125" bestFit="1" customWidth="1"/>
    <col min="21" max="21" width="5.42578125" bestFit="1" customWidth="1"/>
    <col min="22" max="22" width="11.85546875" bestFit="1" customWidth="1"/>
    <col min="23" max="23" width="14.42578125" bestFit="1" customWidth="1"/>
    <col min="24" max="24" width="9.42578125" bestFit="1" customWidth="1"/>
    <col min="25" max="25" width="5.42578125" bestFit="1" customWidth="1"/>
    <col min="26" max="26" width="11.85546875" bestFit="1" customWidth="1"/>
    <col min="27" max="27" width="13.7109375" bestFit="1" customWidth="1"/>
    <col min="28" max="28" width="9.42578125" bestFit="1" customWidth="1"/>
    <col min="29" max="29" width="5.42578125" bestFit="1" customWidth="1"/>
    <col min="30" max="30" width="11.85546875" bestFit="1" customWidth="1"/>
    <col min="31" max="31" width="17.140625" bestFit="1" customWidth="1"/>
    <col min="32" max="32" width="9.42578125" bestFit="1" customWidth="1"/>
    <col min="33" max="33" width="5.42578125" bestFit="1" customWidth="1"/>
    <col min="34" max="34" width="11.85546875" bestFit="1" customWidth="1"/>
    <col min="35" max="35" width="19.28515625" bestFit="1" customWidth="1"/>
    <col min="36" max="36" width="9.42578125" bestFit="1" customWidth="1"/>
    <col min="37" max="37" width="5.42578125" bestFit="1" customWidth="1"/>
    <col min="38" max="38" width="11.85546875" bestFit="1" customWidth="1"/>
    <col min="39" max="39" width="10.42578125" bestFit="1" customWidth="1"/>
    <col min="40" max="40" width="14.140625" bestFit="1" customWidth="1"/>
    <col min="41" max="41" width="9.42578125" bestFit="1" customWidth="1"/>
    <col min="42" max="42" width="5.42578125" bestFit="1" customWidth="1"/>
    <col min="43" max="44" width="9.42578125" bestFit="1" customWidth="1"/>
  </cols>
  <sheetData>
    <row r="1" spans="1:52" s="1" customFormat="1" ht="27.95" customHeight="1" x14ac:dyDescent="0.25">
      <c r="A1" s="30" t="s">
        <v>72</v>
      </c>
      <c r="B1" s="30" t="s">
        <v>76</v>
      </c>
      <c r="C1" s="30" t="s">
        <v>216</v>
      </c>
      <c r="D1" s="31" t="s">
        <v>70</v>
      </c>
      <c r="E1" s="36" t="s">
        <v>273</v>
      </c>
      <c r="F1" s="32" t="s">
        <v>70</v>
      </c>
      <c r="G1" s="30" t="s">
        <v>245</v>
      </c>
      <c r="H1" s="31" t="s">
        <v>73</v>
      </c>
      <c r="I1" s="36" t="s">
        <v>185</v>
      </c>
      <c r="J1" s="32" t="s">
        <v>70</v>
      </c>
      <c r="K1" s="30" t="s">
        <v>360</v>
      </c>
      <c r="L1" s="31" t="s">
        <v>73</v>
      </c>
      <c r="M1" s="36" t="s">
        <v>185</v>
      </c>
      <c r="N1" s="32" t="s">
        <v>70</v>
      </c>
      <c r="O1" s="30" t="s">
        <v>77</v>
      </c>
      <c r="P1" s="31" t="s">
        <v>73</v>
      </c>
      <c r="Q1" s="36" t="s">
        <v>185</v>
      </c>
      <c r="R1" s="32" t="s">
        <v>70</v>
      </c>
      <c r="S1" s="30" t="s">
        <v>220</v>
      </c>
      <c r="T1" s="31" t="s">
        <v>73</v>
      </c>
      <c r="U1" s="36" t="s">
        <v>185</v>
      </c>
      <c r="V1" s="32" t="s">
        <v>70</v>
      </c>
      <c r="W1" s="30" t="s">
        <v>78</v>
      </c>
      <c r="X1" s="31" t="s">
        <v>73</v>
      </c>
      <c r="Y1" s="36" t="s">
        <v>185</v>
      </c>
      <c r="Z1" s="32" t="s">
        <v>70</v>
      </c>
      <c r="AA1" s="30" t="s">
        <v>79</v>
      </c>
      <c r="AB1" s="31" t="s">
        <v>73</v>
      </c>
      <c r="AC1" s="36" t="s">
        <v>185</v>
      </c>
      <c r="AD1" s="32" t="s">
        <v>70</v>
      </c>
      <c r="AE1" s="30" t="s">
        <v>230</v>
      </c>
      <c r="AF1" s="31" t="s">
        <v>73</v>
      </c>
      <c r="AG1" s="36" t="s">
        <v>185</v>
      </c>
      <c r="AH1" s="32" t="s">
        <v>70</v>
      </c>
      <c r="AI1" s="30" t="s">
        <v>80</v>
      </c>
      <c r="AJ1" s="31" t="s">
        <v>73</v>
      </c>
      <c r="AK1" s="36" t="s">
        <v>185</v>
      </c>
      <c r="AL1" s="33" t="s">
        <v>70</v>
      </c>
      <c r="AM1" s="33" t="s">
        <v>201</v>
      </c>
      <c r="AN1" s="33" t="s">
        <v>81</v>
      </c>
      <c r="AO1" s="33" t="s">
        <v>73</v>
      </c>
      <c r="AP1" s="39" t="s">
        <v>185</v>
      </c>
      <c r="AQ1" s="33" t="s">
        <v>82</v>
      </c>
      <c r="AR1" s="39" t="s">
        <v>73</v>
      </c>
    </row>
    <row r="2" spans="1:52" s="1" customFormat="1" x14ac:dyDescent="0.25">
      <c r="A2" s="35" t="s">
        <v>222</v>
      </c>
      <c r="B2" s="35"/>
      <c r="C2" s="35"/>
      <c r="D2" s="35"/>
      <c r="E2" s="37"/>
      <c r="F2" s="35"/>
      <c r="G2" s="35"/>
      <c r="H2" s="35"/>
      <c r="I2" s="37"/>
      <c r="J2" s="35"/>
      <c r="K2" s="35"/>
      <c r="L2" s="35"/>
      <c r="M2" s="37"/>
      <c r="N2" s="35"/>
      <c r="O2" s="35"/>
      <c r="P2" s="35"/>
      <c r="Q2" s="37"/>
      <c r="R2" s="35"/>
      <c r="S2" s="35"/>
      <c r="T2" s="35"/>
      <c r="U2" s="37"/>
      <c r="V2" s="35"/>
      <c r="W2" s="35"/>
      <c r="X2" s="35"/>
      <c r="Y2" s="37"/>
      <c r="Z2" s="35"/>
      <c r="AA2" s="35"/>
      <c r="AB2" s="35"/>
      <c r="AC2" s="37"/>
      <c r="AD2" s="35"/>
      <c r="AE2" s="35"/>
      <c r="AF2" s="35"/>
      <c r="AG2" s="37"/>
      <c r="AH2" s="35"/>
      <c r="AI2" s="35"/>
      <c r="AJ2" s="35"/>
      <c r="AK2" s="37"/>
      <c r="AL2" s="35"/>
      <c r="AM2" s="35"/>
      <c r="AN2" s="35"/>
      <c r="AO2" s="35"/>
      <c r="AP2" s="37"/>
      <c r="AQ2" s="35"/>
      <c r="AR2" s="37"/>
      <c r="AS2"/>
      <c r="AT2"/>
      <c r="AU2"/>
      <c r="AV2"/>
      <c r="AW2"/>
      <c r="AX2"/>
      <c r="AY2"/>
      <c r="AZ2"/>
    </row>
    <row r="3" spans="1:52" x14ac:dyDescent="0.25">
      <c r="A3" t="s">
        <v>128</v>
      </c>
      <c r="B3" s="6">
        <v>23000</v>
      </c>
      <c r="C3"/>
      <c r="D3" s="14">
        <v>46235</v>
      </c>
      <c r="E3" s="38" t="s">
        <v>185</v>
      </c>
      <c r="F3" s="14">
        <v>46248</v>
      </c>
      <c r="G3" t="s">
        <v>25</v>
      </c>
      <c r="H3" s="6">
        <v>2000</v>
      </c>
      <c r="I3" s="38" t="s">
        <v>185</v>
      </c>
      <c r="J3" s="14">
        <v>46248</v>
      </c>
      <c r="K3" t="s">
        <v>84</v>
      </c>
      <c r="L3" s="6">
        <v>64700</v>
      </c>
      <c r="M3" s="38" t="s">
        <v>185</v>
      </c>
      <c r="N3" s="14">
        <v>46251</v>
      </c>
      <c r="O3" t="s">
        <v>85</v>
      </c>
      <c r="P3" s="6">
        <v>4310</v>
      </c>
      <c r="Q3" s="38" t="s">
        <v>185</v>
      </c>
      <c r="R3" s="14">
        <v>46242</v>
      </c>
      <c r="S3" t="s">
        <v>221</v>
      </c>
      <c r="T3" s="6">
        <v>35770</v>
      </c>
      <c r="U3" s="38" t="s">
        <v>185</v>
      </c>
      <c r="V3" s="14">
        <v>46242</v>
      </c>
      <c r="W3" t="s">
        <v>333</v>
      </c>
      <c r="X3" s="6">
        <v>15000</v>
      </c>
      <c r="Y3" s="38" t="s">
        <v>185</v>
      </c>
      <c r="Z3" s="14">
        <v>46235</v>
      </c>
      <c r="AA3" t="s">
        <v>186</v>
      </c>
      <c r="AB3" s="6">
        <v>4300</v>
      </c>
      <c r="AC3" s="38"/>
      <c r="AD3" s="14"/>
      <c r="AE3" t="s">
        <v>85</v>
      </c>
      <c r="AF3" s="6"/>
      <c r="AG3" s="38"/>
      <c r="AH3" s="14">
        <v>46245</v>
      </c>
      <c r="AI3" t="s">
        <v>86</v>
      </c>
      <c r="AJ3" s="6">
        <v>3000</v>
      </c>
      <c r="AK3" s="38" t="s">
        <v>185</v>
      </c>
      <c r="AL3" s="14"/>
      <c r="AN3" t="s">
        <v>87</v>
      </c>
      <c r="AO3" s="6">
        <v>3500</v>
      </c>
      <c r="AP3" s="38"/>
      <c r="AQ3" t="s">
        <v>88</v>
      </c>
      <c r="AR3" s="40">
        <v>344883</v>
      </c>
    </row>
    <row r="4" spans="1:52" x14ac:dyDescent="0.25">
      <c r="A4" t="s">
        <v>83</v>
      </c>
      <c r="B4" s="6">
        <v>9500</v>
      </c>
      <c r="C4"/>
      <c r="D4" s="14">
        <v>46240</v>
      </c>
      <c r="E4" s="38" t="s">
        <v>185</v>
      </c>
      <c r="F4" s="14">
        <v>46254</v>
      </c>
      <c r="G4" t="s">
        <v>255</v>
      </c>
      <c r="H4" s="6">
        <v>600</v>
      </c>
      <c r="I4" s="38" t="s">
        <v>185</v>
      </c>
      <c r="J4" s="14">
        <v>46248</v>
      </c>
      <c r="K4" t="s">
        <v>91</v>
      </c>
      <c r="L4" s="6">
        <v>78280</v>
      </c>
      <c r="M4" s="38" t="s">
        <v>185</v>
      </c>
      <c r="N4" s="14">
        <v>46251</v>
      </c>
      <c r="O4" t="s">
        <v>92</v>
      </c>
      <c r="P4" s="6">
        <v>16730</v>
      </c>
      <c r="Q4" s="38" t="s">
        <v>185</v>
      </c>
      <c r="R4" s="14">
        <v>46248</v>
      </c>
      <c r="S4" t="s">
        <v>221</v>
      </c>
      <c r="T4" s="6">
        <v>28300</v>
      </c>
      <c r="U4" s="38" t="s">
        <v>185</v>
      </c>
      <c r="V4" s="14">
        <v>46248</v>
      </c>
      <c r="W4" t="s">
        <v>333</v>
      </c>
      <c r="X4" s="6">
        <v>15000</v>
      </c>
      <c r="Y4" s="38" t="s">
        <v>185</v>
      </c>
      <c r="Z4" s="14"/>
      <c r="AB4" s="6"/>
      <c r="AC4" s="38"/>
      <c r="AD4" s="14"/>
      <c r="AE4" t="s">
        <v>93</v>
      </c>
      <c r="AF4" s="6"/>
      <c r="AG4" s="38"/>
      <c r="AH4" s="14">
        <v>46245</v>
      </c>
      <c r="AI4" t="s">
        <v>94</v>
      </c>
      <c r="AJ4" s="6">
        <v>9000</v>
      </c>
      <c r="AK4" s="38" t="s">
        <v>185</v>
      </c>
      <c r="AL4" s="14"/>
      <c r="AN4" t="s">
        <v>95</v>
      </c>
      <c r="AO4" s="6">
        <v>4000</v>
      </c>
      <c r="AP4" s="38"/>
      <c r="AQ4" t="s">
        <v>96</v>
      </c>
      <c r="AR4" s="40">
        <v>164240</v>
      </c>
    </row>
    <row r="5" spans="1:52" x14ac:dyDescent="0.25">
      <c r="A5" t="s">
        <v>89</v>
      </c>
      <c r="B5" s="6">
        <v>10500</v>
      </c>
      <c r="C5" t="s">
        <v>90</v>
      </c>
      <c r="D5" s="14">
        <v>46240</v>
      </c>
      <c r="E5" s="38" t="s">
        <v>185</v>
      </c>
      <c r="F5" s="14"/>
      <c r="H5" s="6"/>
      <c r="I5" s="38"/>
      <c r="J5" s="14">
        <v>46251</v>
      </c>
      <c r="K5" t="s">
        <v>98</v>
      </c>
      <c r="L5" s="6">
        <v>14640</v>
      </c>
      <c r="M5" s="38" t="s">
        <v>185</v>
      </c>
      <c r="N5" s="14">
        <v>46251</v>
      </c>
      <c r="O5" t="s">
        <v>99</v>
      </c>
      <c r="P5" s="6">
        <v>18810</v>
      </c>
      <c r="Q5" s="38" t="s">
        <v>185</v>
      </c>
      <c r="R5" s="14">
        <v>46256</v>
      </c>
      <c r="S5" t="s">
        <v>221</v>
      </c>
      <c r="T5" s="6">
        <v>38200</v>
      </c>
      <c r="U5" s="38" t="s">
        <v>185</v>
      </c>
      <c r="V5" s="14">
        <v>46256</v>
      </c>
      <c r="W5" t="s">
        <v>333</v>
      </c>
      <c r="X5" s="6">
        <v>15000</v>
      </c>
      <c r="Y5" s="38" t="s">
        <v>185</v>
      </c>
      <c r="Z5" s="14"/>
      <c r="AB5" s="6"/>
      <c r="AC5" s="38"/>
      <c r="AD5" s="14"/>
      <c r="AE5" t="s">
        <v>100</v>
      </c>
      <c r="AF5" s="6"/>
      <c r="AG5" s="38"/>
      <c r="AH5" s="14"/>
      <c r="AI5" t="s">
        <v>101</v>
      </c>
      <c r="AJ5" s="6"/>
      <c r="AK5" s="38"/>
      <c r="AL5" s="14">
        <v>46239</v>
      </c>
      <c r="AM5" t="s">
        <v>12</v>
      </c>
      <c r="AN5" t="s">
        <v>202</v>
      </c>
      <c r="AO5" s="6">
        <v>4000</v>
      </c>
      <c r="AP5" s="38"/>
      <c r="AQ5" t="s">
        <v>102</v>
      </c>
      <c r="AR5" s="40">
        <v>52000</v>
      </c>
    </row>
    <row r="6" spans="1:52" x14ac:dyDescent="0.25">
      <c r="A6" t="s">
        <v>97</v>
      </c>
      <c r="B6" s="6">
        <v>10500</v>
      </c>
      <c r="C6"/>
      <c r="D6" s="14">
        <v>46240</v>
      </c>
      <c r="E6" s="38" t="s">
        <v>185</v>
      </c>
      <c r="F6" s="14"/>
      <c r="H6" s="6"/>
      <c r="I6" s="38"/>
      <c r="J6" s="14">
        <v>46251</v>
      </c>
      <c r="K6" t="s">
        <v>103</v>
      </c>
      <c r="L6" s="6">
        <v>6840</v>
      </c>
      <c r="M6" s="38" t="s">
        <v>185</v>
      </c>
      <c r="N6" s="14">
        <v>46251</v>
      </c>
      <c r="O6" t="s">
        <v>104</v>
      </c>
      <c r="P6" s="6">
        <v>7890</v>
      </c>
      <c r="Q6" s="38" t="s">
        <v>185</v>
      </c>
      <c r="R6" s="14">
        <v>46263</v>
      </c>
      <c r="S6" t="s">
        <v>221</v>
      </c>
      <c r="T6" s="6">
        <v>33000</v>
      </c>
      <c r="U6" s="38" t="s">
        <v>185</v>
      </c>
      <c r="V6" s="14">
        <v>46263</v>
      </c>
      <c r="W6" t="s">
        <v>333</v>
      </c>
      <c r="X6" s="6">
        <v>15000</v>
      </c>
      <c r="Y6" s="38" t="s">
        <v>185</v>
      </c>
      <c r="Z6" s="14"/>
      <c r="AB6" s="6"/>
      <c r="AC6" s="38"/>
      <c r="AD6" s="14"/>
      <c r="AE6" t="s">
        <v>103</v>
      </c>
      <c r="AF6" s="6"/>
      <c r="AG6" s="38"/>
      <c r="AH6" s="14">
        <v>49901</v>
      </c>
      <c r="AI6" t="s">
        <v>242</v>
      </c>
      <c r="AJ6" s="6">
        <v>5000</v>
      </c>
      <c r="AK6" s="38" t="s">
        <v>185</v>
      </c>
      <c r="AL6" s="14"/>
      <c r="AO6" s="6"/>
      <c r="AP6" s="38"/>
      <c r="AQ6" t="s">
        <v>105</v>
      </c>
      <c r="AR6" s="40">
        <v>561123</v>
      </c>
    </row>
    <row r="7" spans="1:52" x14ac:dyDescent="0.25">
      <c r="A7" t="s">
        <v>25</v>
      </c>
      <c r="B7" s="6">
        <v>12500</v>
      </c>
      <c r="C7"/>
      <c r="D7" s="14">
        <v>46235</v>
      </c>
      <c r="E7" s="38" t="s">
        <v>185</v>
      </c>
      <c r="F7" s="14"/>
      <c r="H7" s="6"/>
      <c r="I7" s="38"/>
      <c r="J7" s="14"/>
      <c r="K7" t="s">
        <v>108</v>
      </c>
      <c r="L7" s="6"/>
      <c r="M7" s="38"/>
      <c r="N7" s="14"/>
      <c r="P7" s="6"/>
      <c r="Q7" s="38"/>
      <c r="R7" s="14"/>
      <c r="T7" s="6"/>
      <c r="U7" s="38"/>
      <c r="V7" s="14"/>
      <c r="X7" s="6"/>
      <c r="Y7" s="38"/>
      <c r="Z7" s="14"/>
      <c r="AB7" s="6"/>
      <c r="AC7" s="38"/>
      <c r="AD7" s="14">
        <v>46235</v>
      </c>
      <c r="AE7" t="s">
        <v>109</v>
      </c>
      <c r="AF7" s="6">
        <v>1000</v>
      </c>
      <c r="AG7" s="38" t="s">
        <v>185</v>
      </c>
      <c r="AH7" s="14">
        <v>46251</v>
      </c>
      <c r="AI7" t="s">
        <v>242</v>
      </c>
      <c r="AJ7" s="6">
        <v>5000</v>
      </c>
      <c r="AK7" s="38" t="s">
        <v>185</v>
      </c>
      <c r="AL7" s="14"/>
      <c r="AO7" s="6"/>
      <c r="AP7" s="38"/>
      <c r="AQ7" t="s">
        <v>104</v>
      </c>
      <c r="AR7" s="40"/>
    </row>
    <row r="8" spans="1:52" x14ac:dyDescent="0.25">
      <c r="A8" t="s">
        <v>106</v>
      </c>
      <c r="B8" s="6">
        <v>8500</v>
      </c>
      <c r="C8" t="s">
        <v>107</v>
      </c>
      <c r="D8" s="14">
        <v>46239</v>
      </c>
      <c r="E8" s="38" t="s">
        <v>185</v>
      </c>
      <c r="F8" s="14"/>
      <c r="H8" s="6"/>
      <c r="I8" s="38"/>
      <c r="J8" s="14"/>
      <c r="L8" s="6"/>
      <c r="M8" s="38"/>
      <c r="N8" s="14"/>
      <c r="P8" s="6"/>
      <c r="Q8" s="38"/>
      <c r="R8" s="14"/>
      <c r="T8" s="6"/>
      <c r="U8" s="38"/>
      <c r="V8" s="14"/>
      <c r="X8" s="6"/>
      <c r="Y8" s="38"/>
      <c r="Z8" s="14"/>
      <c r="AB8" s="6"/>
      <c r="AC8" s="38"/>
      <c r="AD8" s="14"/>
      <c r="AE8" t="s">
        <v>111</v>
      </c>
      <c r="AF8" s="6"/>
      <c r="AG8" s="38"/>
      <c r="AH8" s="14">
        <v>46259</v>
      </c>
      <c r="AI8" t="s">
        <v>265</v>
      </c>
      <c r="AJ8" s="6">
        <v>3000</v>
      </c>
      <c r="AK8" s="38" t="s">
        <v>185</v>
      </c>
      <c r="AL8" s="14"/>
      <c r="AO8" s="6"/>
      <c r="AP8" s="38"/>
      <c r="AQ8" t="s">
        <v>112</v>
      </c>
      <c r="AR8" s="40"/>
    </row>
    <row r="9" spans="1:52" x14ac:dyDescent="0.25">
      <c r="A9" t="s">
        <v>110</v>
      </c>
      <c r="B9" s="6">
        <v>3000</v>
      </c>
      <c r="C9"/>
      <c r="D9" s="14">
        <v>49892</v>
      </c>
      <c r="E9" s="38" t="s">
        <v>185</v>
      </c>
      <c r="F9" s="14"/>
      <c r="H9" s="6"/>
      <c r="I9" s="38"/>
      <c r="J9" s="14"/>
      <c r="L9" s="6"/>
      <c r="M9" s="38"/>
      <c r="N9" s="14"/>
      <c r="P9" s="6"/>
      <c r="Q9" s="38"/>
      <c r="R9" s="14"/>
      <c r="T9" s="6"/>
      <c r="U9" s="38"/>
      <c r="V9" s="14"/>
      <c r="X9" s="6"/>
      <c r="Y9" s="38"/>
      <c r="Z9" s="14"/>
      <c r="AB9" s="6"/>
      <c r="AC9" s="38"/>
      <c r="AD9" s="14"/>
      <c r="AF9" s="6"/>
      <c r="AG9" s="38"/>
      <c r="AH9" s="14"/>
      <c r="AJ9" s="6"/>
      <c r="AK9" s="38"/>
      <c r="AL9" s="14"/>
      <c r="AO9" s="6"/>
      <c r="AP9" s="38"/>
      <c r="AR9" s="40"/>
    </row>
    <row r="10" spans="1:52" x14ac:dyDescent="0.25">
      <c r="A10" t="s">
        <v>113</v>
      </c>
      <c r="B10" s="6">
        <v>14000</v>
      </c>
      <c r="C10"/>
      <c r="D10" s="14">
        <v>46235</v>
      </c>
      <c r="E10" s="38" t="s">
        <v>185</v>
      </c>
      <c r="F10" s="14"/>
      <c r="H10" s="6"/>
      <c r="I10" s="38"/>
      <c r="J10" s="14"/>
      <c r="L10" s="6"/>
      <c r="M10" s="38"/>
      <c r="N10" s="14"/>
      <c r="P10" s="6"/>
      <c r="Q10" s="38"/>
      <c r="R10" s="14"/>
      <c r="T10" s="6"/>
      <c r="U10" s="38"/>
      <c r="V10" s="14"/>
      <c r="X10" s="6"/>
      <c r="Y10" s="38"/>
      <c r="Z10" s="14"/>
      <c r="AB10" s="6"/>
      <c r="AC10" s="38"/>
      <c r="AD10" s="14">
        <v>46241</v>
      </c>
      <c r="AE10" t="s">
        <v>109</v>
      </c>
      <c r="AF10" s="6">
        <v>1500</v>
      </c>
      <c r="AG10" s="38" t="s">
        <v>185</v>
      </c>
      <c r="AH10" s="14"/>
      <c r="AJ10" s="6"/>
      <c r="AK10" s="38"/>
      <c r="AL10" s="14"/>
      <c r="AO10" s="6"/>
      <c r="AP10" s="38"/>
      <c r="AR10" s="40"/>
    </row>
    <row r="11" spans="1:52" x14ac:dyDescent="0.25">
      <c r="A11" t="s">
        <v>114</v>
      </c>
      <c r="B11" s="6">
        <v>13000</v>
      </c>
      <c r="C11" t="s">
        <v>115</v>
      </c>
      <c r="D11" s="14">
        <v>46235</v>
      </c>
      <c r="E11" s="38" t="s">
        <v>185</v>
      </c>
      <c r="F11" s="14"/>
      <c r="H11" s="6"/>
      <c r="I11" s="38"/>
      <c r="J11" s="14"/>
      <c r="L11" s="6"/>
      <c r="M11" s="38"/>
      <c r="N11" s="14"/>
      <c r="P11" s="6"/>
      <c r="Q11" s="38"/>
      <c r="R11" s="14"/>
      <c r="T11" s="6"/>
      <c r="U11" s="38"/>
      <c r="V11" s="14"/>
      <c r="X11" s="6"/>
      <c r="Y11" s="38"/>
      <c r="Z11" s="14"/>
      <c r="AB11" s="6"/>
      <c r="AC11" s="38"/>
      <c r="AD11" s="14">
        <v>46248</v>
      </c>
      <c r="AE11" t="s">
        <v>109</v>
      </c>
      <c r="AF11" s="6">
        <v>1500</v>
      </c>
      <c r="AG11" s="38" t="s">
        <v>185</v>
      </c>
      <c r="AH11" s="14"/>
      <c r="AJ11" s="6"/>
      <c r="AK11" s="38"/>
      <c r="AL11" s="14"/>
      <c r="AO11" s="6"/>
      <c r="AP11" s="38"/>
      <c r="AR11" s="40"/>
    </row>
    <row r="12" spans="1:52" x14ac:dyDescent="0.25">
      <c r="A12" t="s">
        <v>116</v>
      </c>
      <c r="B12" s="6">
        <v>10500</v>
      </c>
      <c r="C12"/>
      <c r="D12" s="14">
        <v>46239</v>
      </c>
      <c r="E12" s="38" t="s">
        <v>185</v>
      </c>
      <c r="F12" s="14"/>
      <c r="H12" s="6"/>
      <c r="I12" s="38"/>
      <c r="J12" s="14"/>
      <c r="L12" s="6"/>
      <c r="M12" s="38"/>
      <c r="N12" s="14"/>
      <c r="P12" s="6"/>
      <c r="Q12" s="38"/>
      <c r="R12" s="14"/>
      <c r="T12" s="6"/>
      <c r="U12" s="38"/>
      <c r="V12" s="14"/>
      <c r="X12" s="6"/>
      <c r="Y12" s="38"/>
      <c r="Z12" s="14"/>
      <c r="AB12" s="6"/>
      <c r="AC12" s="38"/>
      <c r="AD12" s="14">
        <v>46251</v>
      </c>
      <c r="AE12" t="s">
        <v>109</v>
      </c>
      <c r="AF12" s="6">
        <v>1500</v>
      </c>
      <c r="AG12" s="38" t="s">
        <v>185</v>
      </c>
      <c r="AH12" s="14"/>
      <c r="AJ12" s="6"/>
      <c r="AK12" s="38"/>
      <c r="AL12" s="14"/>
      <c r="AO12" s="6"/>
      <c r="AP12" s="38"/>
      <c r="AR12" s="40"/>
    </row>
    <row r="13" spans="1:52" x14ac:dyDescent="0.25">
      <c r="A13" t="s">
        <v>117</v>
      </c>
      <c r="B13" s="6">
        <v>10500</v>
      </c>
      <c r="C13" t="s">
        <v>8</v>
      </c>
      <c r="D13" s="14">
        <v>46245</v>
      </c>
      <c r="E13" s="38" t="s">
        <v>185</v>
      </c>
      <c r="F13" s="14"/>
      <c r="H13" s="6"/>
      <c r="I13" s="38"/>
      <c r="J13" s="14"/>
      <c r="L13" s="6"/>
      <c r="M13" s="38"/>
      <c r="N13" s="14"/>
      <c r="P13" s="6"/>
      <c r="Q13" s="38"/>
      <c r="R13" s="14"/>
      <c r="T13" s="6"/>
      <c r="U13" s="38"/>
      <c r="V13" s="14"/>
      <c r="X13" s="6"/>
      <c r="Y13" s="38"/>
      <c r="Z13" s="14"/>
      <c r="AB13" s="6"/>
      <c r="AC13" s="38"/>
      <c r="AD13" s="14">
        <v>46254</v>
      </c>
      <c r="AE13" t="s">
        <v>109</v>
      </c>
      <c r="AF13" s="6">
        <v>1000</v>
      </c>
      <c r="AG13" s="38" t="s">
        <v>185</v>
      </c>
      <c r="AH13" s="14"/>
      <c r="AJ13" s="6"/>
      <c r="AK13" s="38"/>
      <c r="AL13" s="14"/>
      <c r="AO13" s="6"/>
      <c r="AP13" s="38"/>
      <c r="AR13" s="40"/>
    </row>
    <row r="14" spans="1:52" x14ac:dyDescent="0.25">
      <c r="A14" t="s">
        <v>118</v>
      </c>
      <c r="B14" s="6">
        <v>9000</v>
      </c>
      <c r="C14"/>
      <c r="D14" s="14">
        <v>46239</v>
      </c>
      <c r="E14" s="38" t="s">
        <v>185</v>
      </c>
      <c r="F14" s="14"/>
      <c r="H14" s="6"/>
      <c r="I14" s="38"/>
      <c r="J14" s="14"/>
      <c r="L14" s="6"/>
      <c r="M14" s="38"/>
      <c r="N14" s="14"/>
      <c r="P14" s="6"/>
      <c r="Q14" s="38"/>
      <c r="R14" s="14"/>
      <c r="T14" s="6"/>
      <c r="U14" s="38"/>
      <c r="V14" s="14"/>
      <c r="X14" s="6"/>
      <c r="Y14" s="38"/>
      <c r="Z14" s="14"/>
      <c r="AB14" s="6"/>
      <c r="AC14" s="38"/>
      <c r="AD14" s="14"/>
      <c r="AF14" s="6"/>
      <c r="AG14" s="38"/>
      <c r="AH14" s="14"/>
      <c r="AJ14" s="6"/>
      <c r="AK14" s="38"/>
      <c r="AL14" s="14"/>
      <c r="AO14" s="6"/>
      <c r="AP14" s="38"/>
      <c r="AR14" s="40"/>
    </row>
    <row r="15" spans="1:52" x14ac:dyDescent="0.25">
      <c r="A15" t="s">
        <v>119</v>
      </c>
      <c r="B15" s="6">
        <v>8750</v>
      </c>
      <c r="C15">
        <v>56</v>
      </c>
      <c r="D15" s="14">
        <v>46239</v>
      </c>
      <c r="E15" s="38" t="s">
        <v>185</v>
      </c>
      <c r="F15" s="14"/>
      <c r="H15" s="6"/>
      <c r="I15" s="38"/>
      <c r="J15" s="14"/>
      <c r="L15" s="6"/>
      <c r="M15" s="38"/>
      <c r="N15" s="14"/>
      <c r="P15" s="6"/>
      <c r="Q15" s="38"/>
      <c r="R15" s="14"/>
      <c r="T15" s="6"/>
      <c r="U15" s="38"/>
      <c r="V15" s="14"/>
      <c r="X15" s="6"/>
      <c r="Y15" s="38"/>
      <c r="Z15" s="14"/>
      <c r="AB15" s="6"/>
      <c r="AC15" s="38"/>
      <c r="AD15" s="14"/>
      <c r="AF15" s="6"/>
      <c r="AG15" s="38"/>
      <c r="AH15" s="14"/>
      <c r="AJ15" s="6"/>
      <c r="AK15" s="38"/>
      <c r="AL15" s="14"/>
      <c r="AO15" s="6"/>
      <c r="AP15" s="38"/>
      <c r="AR15" s="40"/>
    </row>
    <row r="16" spans="1:52" x14ac:dyDescent="0.25">
      <c r="A16" t="s">
        <v>120</v>
      </c>
      <c r="B16" s="6">
        <v>5000</v>
      </c>
      <c r="C16" t="s">
        <v>12</v>
      </c>
      <c r="D16" s="14">
        <v>46244</v>
      </c>
      <c r="E16" s="38" t="s">
        <v>185</v>
      </c>
      <c r="F16" s="14"/>
      <c r="H16" s="6"/>
      <c r="I16" s="38"/>
      <c r="J16" s="14"/>
      <c r="L16" s="6"/>
      <c r="M16" s="38"/>
      <c r="N16" s="14"/>
      <c r="P16" s="6"/>
      <c r="Q16" s="38"/>
      <c r="R16" s="14"/>
      <c r="T16" s="6"/>
      <c r="U16" s="38"/>
      <c r="V16" s="14"/>
      <c r="X16" s="6"/>
      <c r="Y16" s="38"/>
      <c r="Z16" s="14"/>
      <c r="AB16" s="6"/>
      <c r="AC16" s="38"/>
      <c r="AD16" s="14"/>
      <c r="AF16" s="6"/>
      <c r="AG16" s="38"/>
      <c r="AH16" s="14"/>
      <c r="AJ16" s="6"/>
      <c r="AK16" s="38"/>
      <c r="AL16" s="14"/>
      <c r="AO16" s="6"/>
      <c r="AP16" s="38"/>
      <c r="AR16" s="40"/>
    </row>
    <row r="17" spans="1:44" x14ac:dyDescent="0.25">
      <c r="A17" t="s">
        <v>121</v>
      </c>
      <c r="B17" s="6">
        <v>10000</v>
      </c>
      <c r="C17" t="s">
        <v>12</v>
      </c>
      <c r="D17" s="14">
        <v>46244</v>
      </c>
      <c r="E17" s="38" t="s">
        <v>185</v>
      </c>
      <c r="F17" s="14"/>
      <c r="H17" s="6"/>
      <c r="I17" s="38"/>
      <c r="J17" s="14"/>
      <c r="L17" s="6"/>
      <c r="M17" s="38"/>
      <c r="N17" s="14"/>
      <c r="P17" s="6"/>
      <c r="Q17" s="38"/>
      <c r="R17" s="14"/>
      <c r="T17" s="6"/>
      <c r="U17" s="38"/>
      <c r="V17" s="14"/>
      <c r="X17" s="6"/>
      <c r="Y17" s="38"/>
      <c r="Z17" s="14"/>
      <c r="AB17" s="6"/>
      <c r="AC17" s="38"/>
      <c r="AD17" s="14"/>
      <c r="AF17" s="6"/>
      <c r="AG17" s="38"/>
      <c r="AH17" s="14"/>
      <c r="AJ17" s="6"/>
      <c r="AK17" s="38"/>
      <c r="AL17" s="14"/>
      <c r="AO17" s="6"/>
      <c r="AP17" s="38"/>
      <c r="AR17" s="40"/>
    </row>
    <row r="18" spans="1:44" x14ac:dyDescent="0.25">
      <c r="A18" t="s">
        <v>122</v>
      </c>
      <c r="B18" s="6">
        <v>11000</v>
      </c>
      <c r="C18" t="s">
        <v>123</v>
      </c>
      <c r="D18" s="14">
        <v>46235</v>
      </c>
      <c r="E18" s="38" t="s">
        <v>185</v>
      </c>
      <c r="F18" s="14"/>
      <c r="H18" s="6"/>
      <c r="I18" s="38"/>
      <c r="J18" s="14"/>
      <c r="L18" s="6"/>
      <c r="M18" s="38"/>
      <c r="N18" s="14"/>
      <c r="P18" s="6"/>
      <c r="Q18" s="38"/>
      <c r="R18" s="14"/>
      <c r="T18" s="6"/>
      <c r="U18" s="38"/>
      <c r="V18" s="14"/>
      <c r="X18" s="6"/>
      <c r="Y18" s="38"/>
      <c r="Z18" s="14"/>
      <c r="AB18" s="6"/>
      <c r="AC18" s="38"/>
      <c r="AD18" s="14"/>
      <c r="AF18" s="6"/>
      <c r="AG18" s="38"/>
      <c r="AH18" s="14"/>
      <c r="AJ18" s="6"/>
      <c r="AK18" s="38"/>
      <c r="AL18" s="14"/>
      <c r="AO18" s="6"/>
      <c r="AP18" s="38"/>
      <c r="AR18" s="40"/>
    </row>
    <row r="19" spans="1:44" x14ac:dyDescent="0.25">
      <c r="A19" t="s">
        <v>124</v>
      </c>
      <c r="B19" s="6">
        <v>5000</v>
      </c>
      <c r="C19" t="s">
        <v>123</v>
      </c>
      <c r="D19" s="14">
        <v>46239</v>
      </c>
      <c r="E19" s="38" t="s">
        <v>185</v>
      </c>
      <c r="F19" s="14"/>
      <c r="H19" s="6"/>
      <c r="I19" s="38"/>
      <c r="J19" s="14"/>
      <c r="L19" s="6"/>
      <c r="M19" s="38"/>
      <c r="N19" s="14"/>
      <c r="P19" s="6"/>
      <c r="Q19" s="38"/>
      <c r="R19" s="14"/>
      <c r="T19" s="6"/>
      <c r="U19" s="38"/>
      <c r="V19" s="14"/>
      <c r="X19" s="6"/>
      <c r="Y19" s="38"/>
      <c r="Z19" s="14"/>
      <c r="AB19" s="6"/>
      <c r="AC19" s="38"/>
      <c r="AD19" s="14"/>
      <c r="AF19" s="6"/>
      <c r="AG19" s="38"/>
      <c r="AH19" s="14"/>
      <c r="AJ19" s="6"/>
      <c r="AK19" s="38"/>
      <c r="AL19" s="14"/>
      <c r="AO19" s="6"/>
      <c r="AP19" s="38"/>
      <c r="AR19" s="40"/>
    </row>
    <row r="20" spans="1:44" x14ac:dyDescent="0.25">
      <c r="A20" t="s">
        <v>125</v>
      </c>
      <c r="B20" s="6">
        <v>11000</v>
      </c>
      <c r="C20" t="s">
        <v>123</v>
      </c>
      <c r="D20" s="14">
        <v>46235</v>
      </c>
      <c r="E20" s="38" t="s">
        <v>185</v>
      </c>
      <c r="F20" s="14"/>
      <c r="H20" s="6"/>
      <c r="I20" s="38"/>
      <c r="J20" s="14"/>
      <c r="L20" s="6"/>
      <c r="M20" s="38"/>
      <c r="N20" s="14"/>
      <c r="P20" s="6"/>
      <c r="Q20" s="38"/>
      <c r="R20" s="14"/>
      <c r="T20" s="6"/>
      <c r="U20" s="38"/>
      <c r="V20" s="14"/>
      <c r="X20" s="6"/>
      <c r="Y20" s="38"/>
      <c r="Z20" s="14"/>
      <c r="AB20" s="6"/>
      <c r="AC20" s="38"/>
      <c r="AD20" s="14"/>
      <c r="AF20" s="6"/>
      <c r="AG20" s="38"/>
      <c r="AH20" s="14"/>
      <c r="AJ20" s="6"/>
      <c r="AK20" s="38"/>
      <c r="AL20" s="14"/>
      <c r="AO20" s="6"/>
      <c r="AP20" s="38"/>
      <c r="AR20" s="40"/>
    </row>
    <row r="21" spans="1:44" x14ac:dyDescent="0.25">
      <c r="A21" t="s">
        <v>260</v>
      </c>
      <c r="B21" s="6">
        <v>750</v>
      </c>
      <c r="C21"/>
      <c r="D21" s="14">
        <v>46258</v>
      </c>
      <c r="E21" s="38" t="s">
        <v>185</v>
      </c>
      <c r="F21" s="14"/>
      <c r="H21" s="6"/>
      <c r="I21" s="38"/>
      <c r="J21" s="14"/>
      <c r="L21" s="6"/>
      <c r="M21" s="38"/>
      <c r="N21" s="14"/>
      <c r="P21" s="6"/>
      <c r="Q21" s="38"/>
      <c r="R21" s="14"/>
      <c r="T21" s="6"/>
      <c r="U21" s="38"/>
      <c r="V21" s="14"/>
      <c r="X21" s="6"/>
      <c r="Y21" s="38"/>
      <c r="Z21" s="14"/>
      <c r="AB21" s="6"/>
      <c r="AC21" s="38"/>
      <c r="AD21" s="14"/>
      <c r="AF21" s="6"/>
      <c r="AG21" s="38"/>
      <c r="AH21" s="14"/>
      <c r="AJ21" s="6"/>
      <c r="AK21" s="38"/>
      <c r="AL21" s="14"/>
      <c r="AO21" s="6"/>
      <c r="AP21" s="38"/>
      <c r="AR21" s="40"/>
    </row>
    <row r="22" spans="1:44" x14ac:dyDescent="0.25">
      <c r="A22" t="s">
        <v>127</v>
      </c>
      <c r="B22" s="6">
        <v>1600</v>
      </c>
      <c r="C22"/>
      <c r="D22" s="14">
        <v>46242</v>
      </c>
      <c r="E22" s="38" t="s">
        <v>185</v>
      </c>
      <c r="F22" s="14"/>
      <c r="H22" s="6"/>
      <c r="I22" s="38"/>
      <c r="J22" s="14"/>
      <c r="L22" s="6"/>
      <c r="M22" s="38"/>
      <c r="N22" s="14"/>
      <c r="P22" s="6"/>
      <c r="Q22" s="38"/>
      <c r="R22" s="14"/>
      <c r="T22" s="6"/>
      <c r="U22" s="38"/>
      <c r="V22" s="14"/>
      <c r="X22" s="6"/>
      <c r="Y22" s="38"/>
      <c r="Z22" s="14"/>
      <c r="AB22" s="6"/>
      <c r="AC22" s="38"/>
      <c r="AD22" s="14"/>
      <c r="AF22" s="6"/>
      <c r="AG22" s="38"/>
      <c r="AH22" s="14"/>
      <c r="AJ22" s="6"/>
      <c r="AK22" s="38"/>
      <c r="AL22" s="14"/>
      <c r="AO22" s="6"/>
      <c r="AP22" s="38"/>
      <c r="AR22" s="40"/>
    </row>
    <row r="23" spans="1:44" x14ac:dyDescent="0.25">
      <c r="A23" t="s">
        <v>219</v>
      </c>
      <c r="B23" s="6">
        <v>2500</v>
      </c>
      <c r="C23" t="s">
        <v>249</v>
      </c>
      <c r="D23" s="14">
        <v>46235</v>
      </c>
      <c r="E23" s="38" t="s">
        <v>185</v>
      </c>
      <c r="F23" s="14"/>
      <c r="H23" s="6"/>
      <c r="I23" s="38"/>
      <c r="J23" s="14"/>
      <c r="L23" s="6"/>
      <c r="M23" s="38"/>
      <c r="N23" s="14"/>
      <c r="P23" s="6"/>
      <c r="Q23" s="38"/>
      <c r="R23" s="14"/>
      <c r="T23" s="6"/>
      <c r="U23" s="38"/>
      <c r="V23" s="14"/>
      <c r="X23" s="6"/>
      <c r="Y23" s="38"/>
      <c r="Z23" s="14"/>
      <c r="AB23" s="6"/>
      <c r="AC23" s="38"/>
      <c r="AD23" s="14"/>
      <c r="AF23" s="6"/>
      <c r="AG23" s="38"/>
      <c r="AH23" s="14"/>
      <c r="AJ23" s="6"/>
      <c r="AK23" s="38"/>
      <c r="AL23" s="14"/>
      <c r="AO23" s="6"/>
      <c r="AP23" s="38"/>
      <c r="AR23" s="40"/>
    </row>
    <row r="24" spans="1:44" x14ac:dyDescent="0.25">
      <c r="A24" t="s">
        <v>219</v>
      </c>
      <c r="B24" s="6">
        <v>2500</v>
      </c>
      <c r="C24" t="s">
        <v>250</v>
      </c>
      <c r="D24" s="14">
        <v>46242</v>
      </c>
      <c r="E24" s="38"/>
      <c r="F24" s="14"/>
      <c r="H24" s="6"/>
      <c r="I24" s="38"/>
      <c r="J24" s="14"/>
      <c r="L24" s="6"/>
      <c r="M24" s="38"/>
      <c r="N24" s="14"/>
      <c r="P24" s="6"/>
      <c r="Q24" s="38"/>
      <c r="R24" s="14"/>
      <c r="T24" s="6"/>
      <c r="U24" s="38"/>
      <c r="V24" s="14"/>
      <c r="X24" s="6"/>
      <c r="Y24" s="38"/>
      <c r="Z24" s="14"/>
      <c r="AB24" s="6"/>
      <c r="AC24" s="38"/>
      <c r="AD24" s="14"/>
      <c r="AF24" s="6"/>
      <c r="AG24" s="38"/>
      <c r="AH24" s="14"/>
      <c r="AJ24" s="6"/>
      <c r="AK24" s="38"/>
      <c r="AL24" s="14"/>
      <c r="AO24" s="6"/>
      <c r="AP24" s="38"/>
      <c r="AR24" s="40"/>
    </row>
    <row r="25" spans="1:44" x14ac:dyDescent="0.25">
      <c r="A25" t="s">
        <v>219</v>
      </c>
      <c r="B25" s="6">
        <v>2500</v>
      </c>
      <c r="C25" t="s">
        <v>251</v>
      </c>
      <c r="D25" s="14">
        <v>46249</v>
      </c>
      <c r="E25" s="38"/>
      <c r="F25" s="14"/>
      <c r="H25" s="6"/>
      <c r="I25" s="38"/>
      <c r="J25" s="14"/>
      <c r="L25" s="6"/>
      <c r="M25" s="38"/>
      <c r="N25" s="14"/>
      <c r="P25" s="6"/>
      <c r="Q25" s="38"/>
      <c r="R25" s="14"/>
      <c r="T25" s="6"/>
      <c r="U25" s="38"/>
      <c r="V25" s="14"/>
      <c r="X25" s="6"/>
      <c r="Y25" s="38"/>
      <c r="Z25" s="14"/>
      <c r="AB25" s="6"/>
      <c r="AC25" s="38"/>
      <c r="AD25" s="14"/>
      <c r="AF25" s="6"/>
      <c r="AG25" s="38"/>
      <c r="AH25" s="14"/>
      <c r="AJ25" s="6"/>
      <c r="AK25" s="38"/>
      <c r="AL25" s="14"/>
      <c r="AO25" s="6"/>
      <c r="AP25" s="38"/>
      <c r="AR25" s="40"/>
    </row>
    <row r="26" spans="1:44" x14ac:dyDescent="0.25">
      <c r="A26" t="s">
        <v>219</v>
      </c>
      <c r="B26" s="6">
        <v>2500</v>
      </c>
      <c r="C26" t="s">
        <v>252</v>
      </c>
      <c r="D26" s="14">
        <v>46256</v>
      </c>
      <c r="E26" s="38"/>
      <c r="F26" s="14"/>
      <c r="H26" s="6"/>
      <c r="I26" s="38"/>
      <c r="J26" s="14"/>
      <c r="L26" s="6"/>
      <c r="M26" s="38"/>
      <c r="N26" s="14"/>
      <c r="P26" s="6"/>
      <c r="Q26" s="38"/>
      <c r="R26" s="14"/>
      <c r="T26" s="6"/>
      <c r="U26" s="38"/>
      <c r="V26" s="14"/>
      <c r="X26" s="6"/>
      <c r="Y26" s="38"/>
      <c r="Z26" s="14"/>
      <c r="AB26" s="6"/>
      <c r="AC26" s="38"/>
      <c r="AD26" s="14"/>
      <c r="AF26" s="6"/>
      <c r="AG26" s="38"/>
      <c r="AH26" s="14"/>
      <c r="AJ26" s="6"/>
      <c r="AK26" s="38"/>
      <c r="AL26" s="14"/>
      <c r="AO26" s="6"/>
      <c r="AP26" s="38"/>
      <c r="AR26" s="40"/>
    </row>
    <row r="27" spans="1:44" x14ac:dyDescent="0.25">
      <c r="A27" t="s">
        <v>219</v>
      </c>
      <c r="B27" s="6">
        <v>2500</v>
      </c>
      <c r="C27" t="s">
        <v>268</v>
      </c>
      <c r="D27" s="14">
        <v>46263</v>
      </c>
      <c r="E27" s="38" t="s">
        <v>185</v>
      </c>
      <c r="F27" s="14"/>
      <c r="H27" s="6"/>
      <c r="I27" s="38"/>
      <c r="J27" s="14"/>
      <c r="L27" s="6"/>
      <c r="M27" s="38"/>
      <c r="N27" s="14"/>
      <c r="P27" s="6"/>
      <c r="Q27" s="38"/>
      <c r="R27" s="14"/>
      <c r="T27" s="6"/>
      <c r="U27" s="38"/>
      <c r="V27" s="14"/>
      <c r="X27" s="6"/>
      <c r="Y27" s="38"/>
      <c r="Z27" s="14"/>
      <c r="AB27" s="6"/>
      <c r="AC27" s="38"/>
      <c r="AD27" s="14"/>
      <c r="AF27" s="6"/>
      <c r="AG27" s="38"/>
      <c r="AH27" s="14"/>
      <c r="AJ27" s="6"/>
      <c r="AK27" s="38"/>
      <c r="AL27" s="14"/>
      <c r="AO27" s="6"/>
      <c r="AP27" s="38"/>
      <c r="AR27" s="40"/>
    </row>
    <row r="28" spans="1:44" x14ac:dyDescent="0.25">
      <c r="A28" t="s">
        <v>187</v>
      </c>
      <c r="B28" s="6">
        <v>10500</v>
      </c>
      <c r="C28"/>
      <c r="D28" s="14">
        <v>46235</v>
      </c>
      <c r="E28" s="38" t="s">
        <v>185</v>
      </c>
      <c r="F28" s="14"/>
      <c r="H28" s="6"/>
      <c r="I28" s="38"/>
      <c r="J28" s="14"/>
      <c r="L28" s="6"/>
      <c r="M28" s="38"/>
      <c r="N28" s="14"/>
      <c r="P28" s="6"/>
      <c r="Q28" s="38"/>
      <c r="R28" s="14"/>
      <c r="T28" s="6"/>
      <c r="U28" s="38"/>
      <c r="V28" s="14"/>
      <c r="X28" s="6"/>
      <c r="Y28" s="38"/>
      <c r="Z28" s="14"/>
      <c r="AB28" s="6"/>
      <c r="AC28" s="38"/>
      <c r="AD28" s="14"/>
      <c r="AF28" s="6"/>
      <c r="AG28" s="38"/>
      <c r="AH28" s="14"/>
      <c r="AJ28" s="6"/>
      <c r="AK28" s="38"/>
      <c r="AL28" s="14"/>
      <c r="AO28" s="6"/>
      <c r="AP28" s="38"/>
      <c r="AR28" s="40"/>
    </row>
    <row r="29" spans="1:44" x14ac:dyDescent="0.25">
      <c r="A29" t="s">
        <v>218</v>
      </c>
      <c r="B29" s="6">
        <v>5000</v>
      </c>
      <c r="C29" t="s">
        <v>8</v>
      </c>
      <c r="D29" s="14">
        <v>46253</v>
      </c>
      <c r="E29" s="38" t="s">
        <v>185</v>
      </c>
      <c r="F29" s="14"/>
      <c r="H29" s="6"/>
      <c r="I29" s="38"/>
      <c r="J29" s="14"/>
      <c r="L29" s="6"/>
      <c r="M29" s="38"/>
      <c r="N29" s="14"/>
      <c r="P29" s="6"/>
      <c r="Q29" s="38"/>
      <c r="R29" s="14"/>
      <c r="T29" s="6"/>
      <c r="U29" s="38"/>
      <c r="V29" s="14"/>
      <c r="X29" s="6"/>
      <c r="Y29" s="38"/>
      <c r="Z29" s="14"/>
      <c r="AB29" s="6"/>
      <c r="AC29" s="38"/>
      <c r="AD29" s="14"/>
      <c r="AF29" s="6"/>
      <c r="AG29" s="38"/>
      <c r="AH29" s="14"/>
      <c r="AJ29" s="6"/>
      <c r="AK29" s="38"/>
      <c r="AL29" s="14"/>
      <c r="AO29" s="6"/>
      <c r="AP29" s="38"/>
      <c r="AR29" s="40"/>
    </row>
    <row r="30" spans="1:44" x14ac:dyDescent="0.25">
      <c r="A30" t="s">
        <v>217</v>
      </c>
      <c r="B30" s="6">
        <v>21000</v>
      </c>
      <c r="C30" t="s">
        <v>8</v>
      </c>
      <c r="D30" s="14">
        <v>46253</v>
      </c>
      <c r="E30" s="38" t="s">
        <v>185</v>
      </c>
      <c r="F30" s="14"/>
      <c r="H30" s="6"/>
      <c r="I30" s="38"/>
      <c r="J30" s="14"/>
      <c r="L30" s="6"/>
      <c r="M30" s="38"/>
      <c r="N30" s="14"/>
      <c r="P30" s="6"/>
      <c r="Q30" s="38"/>
      <c r="R30" s="14"/>
      <c r="T30" s="6"/>
      <c r="U30" s="38"/>
      <c r="V30" s="14"/>
      <c r="X30" s="6"/>
      <c r="Y30" s="38"/>
      <c r="Z30" s="14"/>
      <c r="AB30" s="6"/>
      <c r="AC30" s="38"/>
      <c r="AD30" s="14"/>
      <c r="AF30" s="6"/>
      <c r="AG30" s="38"/>
      <c r="AH30" s="14"/>
      <c r="AJ30" s="6"/>
      <c r="AK30" s="38"/>
      <c r="AL30" s="14"/>
      <c r="AO30" s="6"/>
      <c r="AP30" s="38"/>
      <c r="AR30" s="40"/>
    </row>
    <row r="31" spans="1:44" x14ac:dyDescent="0.25">
      <c r="A31" t="s">
        <v>231</v>
      </c>
      <c r="B31" s="6">
        <v>12000</v>
      </c>
      <c r="C31" t="s">
        <v>12</v>
      </c>
      <c r="D31" s="14">
        <v>46247</v>
      </c>
      <c r="E31" s="38" t="s">
        <v>185</v>
      </c>
      <c r="F31" s="14"/>
      <c r="H31" s="6"/>
      <c r="I31" s="38"/>
      <c r="J31" s="14"/>
      <c r="L31" s="6"/>
      <c r="M31" s="38"/>
      <c r="N31" s="14"/>
      <c r="P31" s="6"/>
      <c r="Q31" s="38"/>
      <c r="R31" s="14"/>
      <c r="T31" s="6"/>
      <c r="U31" s="38"/>
      <c r="V31" s="14"/>
      <c r="X31" s="6"/>
      <c r="Y31" s="38"/>
      <c r="Z31" s="14"/>
      <c r="AB31" s="6"/>
      <c r="AC31" s="38"/>
      <c r="AD31" s="14"/>
      <c r="AF31" s="6"/>
      <c r="AG31" s="38"/>
      <c r="AH31" s="14"/>
      <c r="AJ31" s="6"/>
      <c r="AK31" s="38"/>
      <c r="AL31" s="14"/>
      <c r="AO31" s="6"/>
      <c r="AP31" s="38"/>
      <c r="AR31" s="40"/>
    </row>
    <row r="32" spans="1:44" x14ac:dyDescent="0.25">
      <c r="A32" t="s">
        <v>126</v>
      </c>
      <c r="B32" s="6">
        <v>50000</v>
      </c>
      <c r="C32">
        <v>50000</v>
      </c>
      <c r="D32" s="14">
        <v>46265</v>
      </c>
      <c r="E32" s="38" t="s">
        <v>185</v>
      </c>
      <c r="F32" s="14"/>
      <c r="H32" s="6"/>
      <c r="I32" s="38"/>
      <c r="J32" s="14"/>
      <c r="L32" s="6"/>
      <c r="M32" s="38"/>
      <c r="N32" s="14"/>
      <c r="P32" s="6"/>
      <c r="Q32" s="38"/>
      <c r="R32" s="14"/>
      <c r="T32" s="6"/>
      <c r="U32" s="38"/>
      <c r="V32" s="14"/>
      <c r="X32" s="6"/>
      <c r="Y32" s="38"/>
      <c r="Z32" s="14"/>
      <c r="AB32" s="6"/>
      <c r="AC32" s="38"/>
      <c r="AD32" s="14"/>
      <c r="AF32" s="6"/>
      <c r="AG32" s="38"/>
      <c r="AH32" s="14"/>
      <c r="AJ32" s="6"/>
      <c r="AK32" s="38"/>
      <c r="AL32" s="14"/>
      <c r="AO32" s="6"/>
      <c r="AP32" s="38"/>
      <c r="AR32" s="40"/>
    </row>
    <row r="33" spans="1:52" x14ac:dyDescent="0.25">
      <c r="A33" s="95" t="s">
        <v>228</v>
      </c>
      <c r="B33" s="96">
        <f>SUM(B3:B32)</f>
        <v>298600</v>
      </c>
      <c r="C33" s="97"/>
      <c r="D33" s="98"/>
      <c r="E33" s="99"/>
      <c r="F33" s="98"/>
      <c r="G33" s="95" t="s">
        <v>228</v>
      </c>
      <c r="H33" s="96">
        <f>SUM(H3:H32)</f>
        <v>2600</v>
      </c>
      <c r="I33" s="99"/>
      <c r="J33" s="98"/>
      <c r="K33" s="95" t="s">
        <v>228</v>
      </c>
      <c r="L33" s="96">
        <f>SUM(L3:L32)</f>
        <v>164460</v>
      </c>
      <c r="M33" s="99"/>
      <c r="N33" s="98"/>
      <c r="O33" s="95" t="s">
        <v>228</v>
      </c>
      <c r="P33" s="96">
        <f>SUM(P3:P32)</f>
        <v>47740</v>
      </c>
      <c r="Q33" s="99"/>
      <c r="R33" s="98"/>
      <c r="S33" s="95" t="s">
        <v>228</v>
      </c>
      <c r="T33" s="96">
        <f>SUM(T3:T32)</f>
        <v>135270</v>
      </c>
      <c r="U33" s="99"/>
      <c r="V33" s="98"/>
      <c r="W33" s="95" t="s">
        <v>228</v>
      </c>
      <c r="X33" s="96">
        <f>SUM(X3:X32)</f>
        <v>60000</v>
      </c>
      <c r="Y33" s="99"/>
      <c r="Z33" s="98"/>
      <c r="AA33" s="95" t="s">
        <v>228</v>
      </c>
      <c r="AB33" s="96">
        <f>SUM(AB3:AB32)</f>
        <v>4300</v>
      </c>
      <c r="AC33" s="99"/>
      <c r="AD33" s="98"/>
      <c r="AE33" s="95" t="s">
        <v>228</v>
      </c>
      <c r="AF33" s="96">
        <f>SUM(AF3:AF32)</f>
        <v>6500</v>
      </c>
      <c r="AG33" s="99"/>
      <c r="AH33" s="98"/>
      <c r="AI33" s="95" t="s">
        <v>228</v>
      </c>
      <c r="AJ33" s="96">
        <f>SUM(AJ3:AJ32)</f>
        <v>25000</v>
      </c>
      <c r="AK33" s="99"/>
      <c r="AL33" s="98"/>
      <c r="AM33" s="97"/>
      <c r="AN33" s="95" t="s">
        <v>228</v>
      </c>
      <c r="AO33" s="96">
        <f>SUM(AO3:AO32)</f>
        <v>11500</v>
      </c>
      <c r="AP33" s="99"/>
      <c r="AQ33" s="95" t="s">
        <v>228</v>
      </c>
      <c r="AR33" s="100">
        <f>SUM(AR3:AR32)</f>
        <v>1122246</v>
      </c>
    </row>
    <row r="34" spans="1:52" s="1" customFormat="1" x14ac:dyDescent="0.25">
      <c r="A34" s="35" t="s">
        <v>269</v>
      </c>
      <c r="B34" s="35"/>
      <c r="C34" s="35"/>
      <c r="D34" s="35"/>
      <c r="E34" s="37"/>
      <c r="F34" s="35"/>
      <c r="G34" s="35"/>
      <c r="H34" s="35"/>
      <c r="I34" s="37"/>
      <c r="J34" s="35"/>
      <c r="K34" s="35"/>
      <c r="L34" s="35"/>
      <c r="M34" s="37"/>
      <c r="N34" s="35"/>
      <c r="O34" s="35"/>
      <c r="P34" s="35"/>
      <c r="Q34" s="37"/>
      <c r="R34" s="35"/>
      <c r="S34" s="35"/>
      <c r="T34" s="35"/>
      <c r="U34" s="37"/>
      <c r="V34" s="35"/>
      <c r="W34" s="35"/>
      <c r="X34" s="35"/>
      <c r="Y34" s="37"/>
      <c r="Z34" s="35"/>
      <c r="AA34" s="35"/>
      <c r="AB34" s="35"/>
      <c r="AC34" s="37"/>
      <c r="AD34" s="35"/>
      <c r="AE34" s="35"/>
      <c r="AF34" s="35"/>
      <c r="AG34" s="37"/>
      <c r="AH34" s="35"/>
      <c r="AI34" s="35"/>
      <c r="AJ34" s="35"/>
      <c r="AK34" s="37"/>
      <c r="AL34" s="35"/>
      <c r="AM34" s="35"/>
      <c r="AN34" s="35"/>
      <c r="AO34" s="35"/>
      <c r="AP34" s="37"/>
      <c r="AQ34" s="35"/>
      <c r="AR34" s="37"/>
      <c r="AS34"/>
      <c r="AT34"/>
      <c r="AU34"/>
      <c r="AV34"/>
      <c r="AW34"/>
      <c r="AX34"/>
      <c r="AY34"/>
      <c r="AZ34"/>
    </row>
    <row r="35" spans="1:52" x14ac:dyDescent="0.25">
      <c r="A35" t="s">
        <v>128</v>
      </c>
      <c r="B35" s="6">
        <v>23000</v>
      </c>
      <c r="C35"/>
      <c r="D35" s="14">
        <v>46268</v>
      </c>
      <c r="E35" s="38" t="s">
        <v>185</v>
      </c>
      <c r="F35" s="14"/>
      <c r="H35" s="6"/>
      <c r="I35" s="38"/>
      <c r="J35" s="14">
        <v>46279.770833333336</v>
      </c>
      <c r="K35" t="s">
        <v>84</v>
      </c>
      <c r="L35" s="6">
        <v>38320</v>
      </c>
      <c r="M35" s="38" t="s">
        <v>185</v>
      </c>
      <c r="N35" s="14">
        <v>46279.770833333336</v>
      </c>
      <c r="O35" t="s">
        <v>85</v>
      </c>
      <c r="P35" s="6">
        <v>4900</v>
      </c>
      <c r="Q35" s="38" t="s">
        <v>185</v>
      </c>
      <c r="R35" s="14">
        <v>46269.770833333336</v>
      </c>
      <c r="S35" t="s">
        <v>221</v>
      </c>
      <c r="T35" s="6">
        <v>32050</v>
      </c>
      <c r="U35" s="38" t="s">
        <v>185</v>
      </c>
      <c r="V35" s="14"/>
      <c r="W35" t="s">
        <v>333</v>
      </c>
      <c r="X35" s="6">
        <v>15000</v>
      </c>
      <c r="Y35" s="38" t="s">
        <v>185</v>
      </c>
      <c r="Z35" s="14">
        <v>46287.770833333336</v>
      </c>
      <c r="AA35" t="s">
        <v>186</v>
      </c>
      <c r="AB35" s="6">
        <v>3200</v>
      </c>
      <c r="AC35" s="38" t="s">
        <v>185</v>
      </c>
      <c r="AD35" s="14"/>
      <c r="AE35" t="s">
        <v>85</v>
      </c>
      <c r="AF35" s="6"/>
      <c r="AG35" s="38"/>
      <c r="AH35" s="14"/>
      <c r="AI35" t="s">
        <v>86</v>
      </c>
      <c r="AJ35" s="6"/>
      <c r="AK35" s="38"/>
      <c r="AL35" s="14"/>
      <c r="AN35" t="s">
        <v>87</v>
      </c>
      <c r="AO35" s="6"/>
      <c r="AP35" s="38"/>
      <c r="AQ35" t="s">
        <v>88</v>
      </c>
      <c r="AR35" s="40"/>
    </row>
    <row r="36" spans="1:52" x14ac:dyDescent="0.25">
      <c r="A36" t="s">
        <v>83</v>
      </c>
      <c r="B36" s="6">
        <v>9500</v>
      </c>
      <c r="C36"/>
      <c r="D36" s="14">
        <v>46272</v>
      </c>
      <c r="E36" s="38" t="s">
        <v>185</v>
      </c>
      <c r="F36" s="14"/>
      <c r="H36" s="6"/>
      <c r="I36" s="38"/>
      <c r="J36" s="14">
        <v>46279.770833333336</v>
      </c>
      <c r="K36" t="s">
        <v>91</v>
      </c>
      <c r="L36" s="6">
        <v>92093</v>
      </c>
      <c r="M36" s="38" t="s">
        <v>185</v>
      </c>
      <c r="N36" s="14">
        <v>46279.770833333336</v>
      </c>
      <c r="O36" t="s">
        <v>92</v>
      </c>
      <c r="P36" s="6">
        <v>17919</v>
      </c>
      <c r="Q36" s="38" t="s">
        <v>185</v>
      </c>
      <c r="R36" s="14">
        <v>46276.770833333336</v>
      </c>
      <c r="S36" t="s">
        <v>221</v>
      </c>
      <c r="T36" s="6">
        <v>28200</v>
      </c>
      <c r="U36" s="38" t="s">
        <v>185</v>
      </c>
      <c r="V36" s="14">
        <v>46276.770833333336</v>
      </c>
      <c r="W36" t="s">
        <v>333</v>
      </c>
      <c r="X36" s="6">
        <v>15000</v>
      </c>
      <c r="Y36" s="38" t="s">
        <v>185</v>
      </c>
      <c r="Z36" s="14">
        <v>46269.770833333336</v>
      </c>
      <c r="AA36" t="s">
        <v>307</v>
      </c>
      <c r="AB36" s="6">
        <v>4800</v>
      </c>
      <c r="AC36" s="38" t="s">
        <v>185</v>
      </c>
      <c r="AD36" s="14"/>
      <c r="AE36" t="s">
        <v>93</v>
      </c>
      <c r="AF36" s="6"/>
      <c r="AG36" s="38"/>
      <c r="AH36" s="14"/>
      <c r="AI36" t="s">
        <v>94</v>
      </c>
      <c r="AJ36" s="6"/>
      <c r="AK36" s="38"/>
      <c r="AL36" s="14"/>
      <c r="AN36" t="s">
        <v>95</v>
      </c>
      <c r="AO36" s="6"/>
      <c r="AP36" s="38"/>
      <c r="AQ36" t="s">
        <v>96</v>
      </c>
      <c r="AR36" s="40"/>
    </row>
    <row r="37" spans="1:52" x14ac:dyDescent="0.25">
      <c r="A37" t="s">
        <v>89</v>
      </c>
      <c r="B37" s="6">
        <v>10500</v>
      </c>
      <c r="C37" t="s">
        <v>90</v>
      </c>
      <c r="D37" s="14">
        <v>46268</v>
      </c>
      <c r="E37" s="38" t="s">
        <v>185</v>
      </c>
      <c r="F37" s="14"/>
      <c r="H37" s="6"/>
      <c r="I37" s="38"/>
      <c r="J37" s="14">
        <v>46279.770833333336</v>
      </c>
      <c r="K37" t="s">
        <v>98</v>
      </c>
      <c r="L37" s="6">
        <v>13990</v>
      </c>
      <c r="M37" s="38" t="s">
        <v>185</v>
      </c>
      <c r="N37" s="14">
        <v>46279.770833333336</v>
      </c>
      <c r="O37" t="s">
        <v>99</v>
      </c>
      <c r="P37" s="6">
        <v>19448</v>
      </c>
      <c r="Q37" s="38" t="s">
        <v>185</v>
      </c>
      <c r="R37" s="14">
        <v>46283.770833333336</v>
      </c>
      <c r="S37" t="s">
        <v>221</v>
      </c>
      <c r="T37" s="6">
        <v>29750</v>
      </c>
      <c r="U37" s="38" t="s">
        <v>185</v>
      </c>
      <c r="V37" s="14"/>
      <c r="W37" t="s">
        <v>333</v>
      </c>
      <c r="X37" s="6"/>
      <c r="Y37" s="38"/>
      <c r="Z37" s="14"/>
      <c r="AB37" s="6"/>
      <c r="AC37" s="38"/>
      <c r="AD37" s="14"/>
      <c r="AE37" t="s">
        <v>100</v>
      </c>
      <c r="AF37" s="6"/>
      <c r="AG37" s="38"/>
      <c r="AH37" s="14"/>
      <c r="AI37" t="s">
        <v>101</v>
      </c>
      <c r="AJ37" s="6"/>
      <c r="AK37" s="38"/>
      <c r="AL37" s="14">
        <v>46268.770833333336</v>
      </c>
      <c r="AM37" t="s">
        <v>12</v>
      </c>
      <c r="AN37" t="s">
        <v>202</v>
      </c>
      <c r="AO37" s="6">
        <v>1500</v>
      </c>
      <c r="AP37" s="38" t="s">
        <v>185</v>
      </c>
      <c r="AQ37" t="s">
        <v>102</v>
      </c>
      <c r="AR37" s="40"/>
    </row>
    <row r="38" spans="1:52" x14ac:dyDescent="0.25">
      <c r="A38" t="s">
        <v>97</v>
      </c>
      <c r="B38" s="6">
        <v>10500</v>
      </c>
      <c r="C38"/>
      <c r="D38" s="14">
        <v>46268</v>
      </c>
      <c r="E38" s="38" t="s">
        <v>185</v>
      </c>
      <c r="F38" s="14"/>
      <c r="H38" s="6"/>
      <c r="I38" s="38"/>
      <c r="J38" s="14">
        <v>46279.770833333336</v>
      </c>
      <c r="K38" t="s">
        <v>103</v>
      </c>
      <c r="L38" s="6">
        <v>6020</v>
      </c>
      <c r="M38" s="38" t="s">
        <v>185</v>
      </c>
      <c r="N38" s="14">
        <v>46279.770833333336</v>
      </c>
      <c r="O38" t="s">
        <v>104</v>
      </c>
      <c r="P38" s="6">
        <v>8740</v>
      </c>
      <c r="Q38" s="38" t="s">
        <v>185</v>
      </c>
      <c r="R38" s="14">
        <v>46290.770833333336</v>
      </c>
      <c r="S38" t="s">
        <v>221</v>
      </c>
      <c r="T38" s="6">
        <v>33800</v>
      </c>
      <c r="U38" s="38" t="s">
        <v>185</v>
      </c>
      <c r="V38" s="14">
        <v>46290.770833333336</v>
      </c>
      <c r="W38" t="s">
        <v>333</v>
      </c>
      <c r="X38" s="6">
        <v>15000</v>
      </c>
      <c r="Y38" s="38" t="s">
        <v>185</v>
      </c>
      <c r="Z38" s="14"/>
      <c r="AB38" s="6"/>
      <c r="AC38" s="38"/>
      <c r="AD38" s="14"/>
      <c r="AE38" t="s">
        <v>103</v>
      </c>
      <c r="AF38" s="6"/>
      <c r="AG38" s="38"/>
      <c r="AH38" s="14"/>
      <c r="AI38" t="s">
        <v>242</v>
      </c>
      <c r="AJ38" s="6"/>
      <c r="AK38" s="38"/>
      <c r="AL38" s="14">
        <v>46271.770833333336</v>
      </c>
      <c r="AN38" t="s">
        <v>309</v>
      </c>
      <c r="AO38" s="6">
        <v>24350</v>
      </c>
      <c r="AP38" s="38" t="s">
        <v>185</v>
      </c>
      <c r="AQ38" t="s">
        <v>105</v>
      </c>
      <c r="AR38" s="40"/>
    </row>
    <row r="39" spans="1:52" x14ac:dyDescent="0.25">
      <c r="A39" t="s">
        <v>25</v>
      </c>
      <c r="B39" s="6">
        <v>12500</v>
      </c>
      <c r="C39"/>
      <c r="D39" s="14">
        <v>46266</v>
      </c>
      <c r="E39" s="38" t="s">
        <v>185</v>
      </c>
      <c r="F39" s="14"/>
      <c r="H39" s="6"/>
      <c r="I39" s="38"/>
      <c r="J39" s="14">
        <v>46279.770833333336</v>
      </c>
      <c r="K39" t="s">
        <v>108</v>
      </c>
      <c r="L39" s="6">
        <v>100</v>
      </c>
      <c r="M39" s="38" t="s">
        <v>185</v>
      </c>
      <c r="N39" s="14"/>
      <c r="P39" s="6"/>
      <c r="Q39" s="38"/>
      <c r="R39" s="14"/>
      <c r="T39" s="6"/>
      <c r="U39" s="38"/>
      <c r="V39" s="14"/>
      <c r="X39" s="6"/>
      <c r="Y39" s="38"/>
      <c r="Z39" s="14"/>
      <c r="AB39" s="6"/>
      <c r="AC39" s="38"/>
      <c r="AD39" s="14">
        <v>46266.770833333336</v>
      </c>
      <c r="AE39" t="s">
        <v>111</v>
      </c>
      <c r="AF39" s="6">
        <v>1000</v>
      </c>
      <c r="AG39" s="38" t="s">
        <v>185</v>
      </c>
      <c r="AH39" s="14">
        <v>46271.770833333336</v>
      </c>
      <c r="AI39" t="s">
        <v>242</v>
      </c>
      <c r="AJ39" s="6">
        <v>500</v>
      </c>
      <c r="AK39" s="38" t="s">
        <v>185</v>
      </c>
      <c r="AL39" s="14">
        <v>46271.770833333336</v>
      </c>
      <c r="AN39" t="s">
        <v>118</v>
      </c>
      <c r="AO39" s="6">
        <v>3000</v>
      </c>
      <c r="AP39" s="38" t="s">
        <v>185</v>
      </c>
      <c r="AQ39" t="s">
        <v>104</v>
      </c>
      <c r="AR39" s="40"/>
    </row>
    <row r="40" spans="1:52" x14ac:dyDescent="0.25">
      <c r="A40" t="s">
        <v>106</v>
      </c>
      <c r="B40" s="6">
        <v>8500</v>
      </c>
      <c r="C40" t="s">
        <v>107</v>
      </c>
      <c r="D40" s="14">
        <v>46268</v>
      </c>
      <c r="E40" s="38" t="s">
        <v>185</v>
      </c>
      <c r="F40" s="14"/>
      <c r="H40" s="6"/>
      <c r="I40" s="38"/>
      <c r="J40" s="14"/>
      <c r="L40" s="6"/>
      <c r="M40" s="38"/>
      <c r="N40" s="14"/>
      <c r="P40" s="6"/>
      <c r="Q40" s="38"/>
      <c r="R40" s="14"/>
      <c r="T40" s="6"/>
      <c r="U40" s="38"/>
      <c r="V40" s="14"/>
      <c r="X40" s="6"/>
      <c r="Y40" s="38"/>
      <c r="Z40" s="14"/>
      <c r="AB40" s="6"/>
      <c r="AC40" s="38"/>
      <c r="AD40" s="14">
        <v>46275.770833333336</v>
      </c>
      <c r="AE40" t="s">
        <v>347</v>
      </c>
      <c r="AF40" s="6">
        <v>1000</v>
      </c>
      <c r="AG40" s="38" t="s">
        <v>185</v>
      </c>
      <c r="AH40" s="14">
        <v>46281.770833333336</v>
      </c>
      <c r="AI40" t="s">
        <v>265</v>
      </c>
      <c r="AJ40" s="6">
        <v>3500</v>
      </c>
      <c r="AK40" s="38" t="s">
        <v>185</v>
      </c>
      <c r="AL40" s="14">
        <v>46271.770833333336</v>
      </c>
      <c r="AN40" t="s">
        <v>310</v>
      </c>
      <c r="AO40" s="6">
        <v>9600</v>
      </c>
      <c r="AP40" s="38" t="s">
        <v>185</v>
      </c>
      <c r="AQ40" t="s">
        <v>112</v>
      </c>
      <c r="AR40" s="40"/>
    </row>
    <row r="41" spans="1:52" x14ac:dyDescent="0.25">
      <c r="A41" t="s">
        <v>110</v>
      </c>
      <c r="B41" s="6">
        <v>3000</v>
      </c>
      <c r="C41"/>
      <c r="D41" s="14">
        <v>46268</v>
      </c>
      <c r="E41" s="38" t="s">
        <v>185</v>
      </c>
      <c r="F41" s="14"/>
      <c r="H41" s="6"/>
      <c r="I41" s="38"/>
      <c r="J41" s="14"/>
      <c r="L41" s="6"/>
      <c r="M41" s="38"/>
      <c r="N41" s="14"/>
      <c r="P41" s="6"/>
      <c r="Q41" s="38"/>
      <c r="R41" s="14"/>
      <c r="T41" s="6"/>
      <c r="U41" s="38"/>
      <c r="V41" s="14"/>
      <c r="X41" s="6"/>
      <c r="Y41" s="38"/>
      <c r="Z41" s="14"/>
      <c r="AB41" s="6"/>
      <c r="AC41" s="38"/>
      <c r="AD41" s="14">
        <v>46295</v>
      </c>
      <c r="AE41" t="s">
        <v>473</v>
      </c>
      <c r="AF41" s="6">
        <v>1500</v>
      </c>
      <c r="AG41" s="38" t="s">
        <v>185</v>
      </c>
      <c r="AH41" s="14">
        <v>46281.770833333336</v>
      </c>
      <c r="AI41" t="s">
        <v>242</v>
      </c>
      <c r="AJ41" s="6">
        <v>10000</v>
      </c>
      <c r="AK41" s="38" t="s">
        <v>185</v>
      </c>
      <c r="AL41" s="14">
        <v>46271.770833333336</v>
      </c>
      <c r="AN41" t="s">
        <v>312</v>
      </c>
      <c r="AO41" s="6">
        <v>13450</v>
      </c>
      <c r="AP41" s="38" t="s">
        <v>185</v>
      </c>
      <c r="AR41" s="40"/>
    </row>
    <row r="42" spans="1:52" x14ac:dyDescent="0.25">
      <c r="A42" t="s">
        <v>113</v>
      </c>
      <c r="B42" s="6">
        <v>14000</v>
      </c>
      <c r="C42"/>
      <c r="D42" s="14">
        <v>46268</v>
      </c>
      <c r="E42" s="38" t="s">
        <v>185</v>
      </c>
      <c r="F42" s="14"/>
      <c r="H42" s="6"/>
      <c r="I42" s="38"/>
      <c r="J42" s="14"/>
      <c r="L42" s="6"/>
      <c r="M42" s="38"/>
      <c r="N42" s="14"/>
      <c r="P42" s="6"/>
      <c r="Q42" s="38"/>
      <c r="R42" s="14"/>
      <c r="T42" s="6"/>
      <c r="U42" s="38"/>
      <c r="V42" s="14"/>
      <c r="X42" s="6"/>
      <c r="Y42" s="38"/>
      <c r="Z42" s="14"/>
      <c r="AB42" s="6"/>
      <c r="AC42" s="38"/>
      <c r="AD42" s="14"/>
      <c r="AF42" s="6"/>
      <c r="AG42" s="38"/>
      <c r="AH42" s="14">
        <v>46288.770833333336</v>
      </c>
      <c r="AI42" t="s">
        <v>334</v>
      </c>
      <c r="AJ42" s="6">
        <v>5000</v>
      </c>
      <c r="AK42" s="38" t="s">
        <v>185</v>
      </c>
      <c r="AL42" s="14"/>
      <c r="AO42" s="6"/>
      <c r="AP42" s="38"/>
      <c r="AR42" s="40"/>
    </row>
    <row r="43" spans="1:52" x14ac:dyDescent="0.25">
      <c r="A43" t="s">
        <v>114</v>
      </c>
      <c r="B43" s="6">
        <v>13000</v>
      </c>
      <c r="C43" t="s">
        <v>115</v>
      </c>
      <c r="D43" s="14">
        <v>46268</v>
      </c>
      <c r="E43" s="38" t="s">
        <v>185</v>
      </c>
      <c r="F43" s="14"/>
      <c r="H43" s="6"/>
      <c r="I43" s="38"/>
      <c r="J43" s="14"/>
      <c r="L43" s="6"/>
      <c r="M43" s="38"/>
      <c r="N43" s="14"/>
      <c r="P43" s="6"/>
      <c r="Q43" s="38"/>
      <c r="R43" s="14"/>
      <c r="T43" s="6"/>
      <c r="U43" s="38"/>
      <c r="V43" s="14"/>
      <c r="X43" s="6"/>
      <c r="Y43" s="38"/>
      <c r="Z43" s="14"/>
      <c r="AB43" s="6"/>
      <c r="AC43" s="38"/>
      <c r="AD43" s="14"/>
      <c r="AF43" s="6"/>
      <c r="AG43" s="38"/>
      <c r="AH43" s="14">
        <v>46289</v>
      </c>
      <c r="AI43" t="s">
        <v>468</v>
      </c>
      <c r="AJ43" s="6">
        <v>400</v>
      </c>
      <c r="AK43" s="38" t="s">
        <v>185</v>
      </c>
      <c r="AL43" s="14"/>
      <c r="AO43" s="6"/>
      <c r="AP43" s="38"/>
      <c r="AR43" s="40"/>
    </row>
    <row r="44" spans="1:52" x14ac:dyDescent="0.25">
      <c r="A44" t="s">
        <v>116</v>
      </c>
      <c r="B44" s="6">
        <v>10500</v>
      </c>
      <c r="C44"/>
      <c r="D44" s="14">
        <v>46268</v>
      </c>
      <c r="E44" s="38" t="s">
        <v>185</v>
      </c>
      <c r="F44" s="14"/>
      <c r="H44" s="6"/>
      <c r="I44" s="38"/>
      <c r="J44" s="14"/>
      <c r="L44" s="6"/>
      <c r="M44" s="38"/>
      <c r="N44" s="14"/>
      <c r="P44" s="6"/>
      <c r="Q44" s="38"/>
      <c r="R44" s="14"/>
      <c r="T44" s="6"/>
      <c r="U44" s="38"/>
      <c r="V44" s="14"/>
      <c r="X44" s="6"/>
      <c r="Y44" s="38"/>
      <c r="Z44" s="14"/>
      <c r="AB44" s="6"/>
      <c r="AC44" s="38"/>
      <c r="AD44" s="14"/>
      <c r="AF44" s="6"/>
      <c r="AG44" s="38"/>
      <c r="AH44" s="14"/>
      <c r="AJ44" s="6"/>
      <c r="AK44" s="38"/>
      <c r="AL44" s="14"/>
      <c r="AO44" s="6"/>
      <c r="AP44" s="38"/>
      <c r="AR44" s="40"/>
    </row>
    <row r="45" spans="1:52" x14ac:dyDescent="0.25">
      <c r="A45" t="s">
        <v>117</v>
      </c>
      <c r="B45" s="6">
        <v>10500</v>
      </c>
      <c r="C45" t="s">
        <v>8</v>
      </c>
      <c r="D45" s="14">
        <v>46272</v>
      </c>
      <c r="E45" s="38" t="s">
        <v>185</v>
      </c>
      <c r="F45" s="14"/>
      <c r="H45" s="6"/>
      <c r="I45" s="38"/>
      <c r="J45" s="14"/>
      <c r="L45" s="6"/>
      <c r="M45" s="38"/>
      <c r="N45" s="14"/>
      <c r="P45" s="6"/>
      <c r="Q45" s="38"/>
      <c r="R45" s="14"/>
      <c r="T45" s="6"/>
      <c r="U45" s="38"/>
      <c r="V45" s="14"/>
      <c r="X45" s="6"/>
      <c r="Y45" s="38"/>
      <c r="Z45" s="14"/>
      <c r="AB45" s="6"/>
      <c r="AC45" s="38"/>
      <c r="AD45" s="14"/>
      <c r="AF45" s="6"/>
      <c r="AG45" s="38"/>
      <c r="AH45" s="14"/>
      <c r="AJ45" s="6"/>
      <c r="AK45" s="38"/>
      <c r="AL45" s="14"/>
      <c r="AO45" s="6"/>
      <c r="AP45" s="38"/>
      <c r="AR45" s="40"/>
    </row>
    <row r="46" spans="1:52" x14ac:dyDescent="0.25">
      <c r="A46" t="s">
        <v>118</v>
      </c>
      <c r="B46" s="6">
        <v>9000</v>
      </c>
      <c r="C46"/>
      <c r="D46" s="14">
        <v>46273</v>
      </c>
      <c r="E46" s="38" t="s">
        <v>185</v>
      </c>
      <c r="F46" s="14"/>
      <c r="H46" s="6"/>
      <c r="I46" s="38"/>
      <c r="J46" s="14"/>
      <c r="L46" s="6"/>
      <c r="M46" s="38"/>
      <c r="N46" s="14"/>
      <c r="P46" s="6"/>
      <c r="Q46" s="38"/>
      <c r="R46" s="14"/>
      <c r="T46" s="6"/>
      <c r="U46" s="38"/>
      <c r="V46" s="14"/>
      <c r="X46" s="6"/>
      <c r="Y46" s="38"/>
      <c r="Z46" s="14"/>
      <c r="AB46" s="6"/>
      <c r="AC46" s="38"/>
      <c r="AD46" s="14"/>
      <c r="AF46" s="6"/>
      <c r="AG46" s="38"/>
      <c r="AH46" s="14"/>
      <c r="AJ46" s="6"/>
      <c r="AK46" s="38"/>
      <c r="AL46" s="14"/>
      <c r="AO46" s="6"/>
      <c r="AP46" s="38"/>
      <c r="AR46" s="40"/>
    </row>
    <row r="47" spans="1:52" x14ac:dyDescent="0.25">
      <c r="A47" t="s">
        <v>119</v>
      </c>
      <c r="B47" s="6">
        <v>8750</v>
      </c>
      <c r="C47">
        <v>56</v>
      </c>
      <c r="D47" s="14">
        <v>46273</v>
      </c>
      <c r="E47" s="38" t="s">
        <v>185</v>
      </c>
      <c r="F47" s="14"/>
      <c r="H47" s="6"/>
      <c r="I47" s="38"/>
      <c r="J47" s="14"/>
      <c r="L47" s="6"/>
      <c r="M47" s="38"/>
      <c r="N47" s="14"/>
      <c r="P47" s="6"/>
      <c r="Q47" s="38"/>
      <c r="R47" s="14"/>
      <c r="T47" s="6"/>
      <c r="U47" s="38"/>
      <c r="V47" s="14"/>
      <c r="X47" s="6"/>
      <c r="Y47" s="38"/>
      <c r="Z47" s="14"/>
      <c r="AB47" s="6"/>
      <c r="AC47" s="38"/>
      <c r="AD47" s="14"/>
      <c r="AF47" s="6"/>
      <c r="AG47" s="38"/>
      <c r="AH47" s="14"/>
      <c r="AJ47" s="6"/>
      <c r="AK47" s="38"/>
      <c r="AL47" s="14"/>
      <c r="AO47" s="6"/>
      <c r="AP47" s="38"/>
      <c r="AR47" s="40"/>
    </row>
    <row r="48" spans="1:52" x14ac:dyDescent="0.25">
      <c r="A48" t="s">
        <v>120</v>
      </c>
      <c r="B48" s="6">
        <v>5000</v>
      </c>
      <c r="C48" t="s">
        <v>12</v>
      </c>
      <c r="D48" s="14">
        <v>46274</v>
      </c>
      <c r="E48" s="38" t="s">
        <v>185</v>
      </c>
      <c r="F48" s="14"/>
      <c r="H48" s="6"/>
      <c r="I48" s="38"/>
      <c r="J48" s="14"/>
      <c r="L48" s="6"/>
      <c r="M48" s="38"/>
      <c r="N48" s="14"/>
      <c r="P48" s="6"/>
      <c r="Q48" s="38"/>
      <c r="R48" s="14"/>
      <c r="T48" s="6"/>
      <c r="U48" s="38"/>
      <c r="V48" s="14"/>
      <c r="X48" s="6"/>
      <c r="Y48" s="38"/>
      <c r="Z48" s="14"/>
      <c r="AB48" s="6"/>
      <c r="AC48" s="38"/>
      <c r="AD48" s="14"/>
      <c r="AF48" s="6"/>
      <c r="AG48" s="38"/>
      <c r="AH48" s="14"/>
      <c r="AJ48" s="6"/>
      <c r="AK48" s="38"/>
      <c r="AL48" s="14"/>
      <c r="AO48" s="6"/>
      <c r="AP48" s="38"/>
      <c r="AR48" s="40"/>
    </row>
    <row r="49" spans="1:44" x14ac:dyDescent="0.25">
      <c r="A49" t="s">
        <v>121</v>
      </c>
      <c r="B49" s="6">
        <v>10000</v>
      </c>
      <c r="C49" t="s">
        <v>12</v>
      </c>
      <c r="D49" s="14">
        <v>46274</v>
      </c>
      <c r="E49" s="38" t="s">
        <v>185</v>
      </c>
      <c r="F49" s="14"/>
      <c r="H49" s="6"/>
      <c r="I49" s="38"/>
      <c r="J49" s="14"/>
      <c r="L49" s="6"/>
      <c r="M49" s="38"/>
      <c r="N49" s="14"/>
      <c r="P49" s="6"/>
      <c r="Q49" s="38"/>
      <c r="R49" s="14"/>
      <c r="T49" s="6"/>
      <c r="U49" s="38"/>
      <c r="V49" s="14"/>
      <c r="X49" s="6"/>
      <c r="Y49" s="38"/>
      <c r="Z49" s="14"/>
      <c r="AB49" s="6"/>
      <c r="AC49" s="38"/>
      <c r="AD49" s="14"/>
      <c r="AF49" s="6"/>
      <c r="AG49" s="38"/>
      <c r="AH49" s="14"/>
      <c r="AJ49" s="6"/>
      <c r="AK49" s="38"/>
      <c r="AL49" s="14"/>
      <c r="AO49" s="6"/>
      <c r="AP49" s="38"/>
      <c r="AR49" s="40"/>
    </row>
    <row r="50" spans="1:44" x14ac:dyDescent="0.25">
      <c r="A50" t="s">
        <v>122</v>
      </c>
      <c r="B50" s="6">
        <v>11000</v>
      </c>
      <c r="C50" t="s">
        <v>123</v>
      </c>
      <c r="D50" s="14">
        <v>46267</v>
      </c>
      <c r="E50" s="38" t="s">
        <v>185</v>
      </c>
      <c r="F50" s="14"/>
      <c r="H50" s="6"/>
      <c r="I50" s="38"/>
      <c r="J50" s="14"/>
      <c r="L50" s="6"/>
      <c r="M50" s="38"/>
      <c r="N50" s="14"/>
      <c r="P50" s="6"/>
      <c r="Q50" s="38"/>
      <c r="R50" s="14"/>
      <c r="T50" s="6"/>
      <c r="U50" s="38"/>
      <c r="V50" s="14"/>
      <c r="X50" s="6"/>
      <c r="Y50" s="38"/>
      <c r="Z50" s="14"/>
      <c r="AB50" s="6"/>
      <c r="AC50" s="38"/>
      <c r="AD50" s="14"/>
      <c r="AF50" s="6"/>
      <c r="AG50" s="38"/>
      <c r="AH50" s="14"/>
      <c r="AJ50" s="6"/>
      <c r="AK50" s="38"/>
      <c r="AL50" s="14"/>
      <c r="AO50" s="6"/>
      <c r="AP50" s="38"/>
      <c r="AR50" s="40"/>
    </row>
    <row r="51" spans="1:44" x14ac:dyDescent="0.25">
      <c r="A51" t="s">
        <v>125</v>
      </c>
      <c r="B51" s="6">
        <v>11000</v>
      </c>
      <c r="C51" t="s">
        <v>123</v>
      </c>
      <c r="D51" s="14">
        <v>46267</v>
      </c>
      <c r="E51" s="38" t="s">
        <v>185</v>
      </c>
      <c r="F51" s="14"/>
      <c r="H51" s="6"/>
      <c r="I51" s="38"/>
      <c r="J51" s="14"/>
      <c r="L51" s="6"/>
      <c r="M51" s="38"/>
      <c r="N51" s="14"/>
      <c r="P51" s="6"/>
      <c r="Q51" s="38"/>
      <c r="R51" s="14"/>
      <c r="T51" s="6"/>
      <c r="U51" s="38"/>
      <c r="V51" s="14"/>
      <c r="X51" s="6"/>
      <c r="Y51" s="38"/>
      <c r="Z51" s="14"/>
      <c r="AB51" s="6"/>
      <c r="AC51" s="38"/>
      <c r="AD51" s="14"/>
      <c r="AF51" s="6"/>
      <c r="AG51" s="38"/>
      <c r="AH51" s="14"/>
      <c r="AJ51" s="6"/>
      <c r="AK51" s="38"/>
      <c r="AL51" s="14"/>
      <c r="AO51" s="6"/>
      <c r="AP51" s="38"/>
      <c r="AR51" s="40"/>
    </row>
    <row r="52" spans="1:44" x14ac:dyDescent="0.25">
      <c r="A52" t="s">
        <v>260</v>
      </c>
      <c r="B52" s="6">
        <v>750</v>
      </c>
      <c r="C52"/>
      <c r="D52" s="14">
        <v>46282</v>
      </c>
      <c r="E52" s="38" t="s">
        <v>185</v>
      </c>
      <c r="F52" s="14"/>
      <c r="H52" s="6"/>
      <c r="I52" s="38"/>
      <c r="J52" s="14"/>
      <c r="L52" s="6"/>
      <c r="M52" s="38"/>
      <c r="N52" s="14"/>
      <c r="P52" s="6"/>
      <c r="Q52" s="38"/>
      <c r="R52" s="14"/>
      <c r="T52" s="6"/>
      <c r="U52" s="38"/>
      <c r="V52" s="14"/>
      <c r="X52" s="6"/>
      <c r="Y52" s="38"/>
      <c r="Z52" s="14"/>
      <c r="AB52" s="6"/>
      <c r="AC52" s="38"/>
      <c r="AD52" s="14"/>
      <c r="AF52" s="6"/>
      <c r="AG52" s="38"/>
      <c r="AH52" s="14"/>
      <c r="AJ52" s="6"/>
      <c r="AK52" s="38"/>
      <c r="AL52" s="14"/>
      <c r="AO52" s="6"/>
      <c r="AP52" s="38"/>
      <c r="AR52" s="40"/>
    </row>
    <row r="53" spans="1:44" x14ac:dyDescent="0.25">
      <c r="A53" t="s">
        <v>127</v>
      </c>
      <c r="B53" s="6">
        <v>1600</v>
      </c>
      <c r="C53"/>
      <c r="D53" s="14">
        <v>46270</v>
      </c>
      <c r="E53" s="38" t="s">
        <v>185</v>
      </c>
      <c r="F53" s="14"/>
      <c r="H53" s="6"/>
      <c r="I53" s="38"/>
      <c r="J53" s="14"/>
      <c r="L53" s="6"/>
      <c r="M53" s="38"/>
      <c r="N53" s="14"/>
      <c r="P53" s="6"/>
      <c r="Q53" s="38"/>
      <c r="R53" s="14"/>
      <c r="T53" s="6"/>
      <c r="U53" s="38"/>
      <c r="V53" s="14"/>
      <c r="X53" s="6"/>
      <c r="Y53" s="38"/>
      <c r="Z53" s="14"/>
      <c r="AB53" s="6"/>
      <c r="AC53" s="38"/>
      <c r="AD53" s="14"/>
      <c r="AF53" s="6"/>
      <c r="AG53" s="38"/>
      <c r="AH53" s="14"/>
      <c r="AJ53" s="6"/>
      <c r="AK53" s="38"/>
      <c r="AL53" s="14"/>
      <c r="AO53" s="6"/>
      <c r="AP53" s="38"/>
      <c r="AR53" s="40"/>
    </row>
    <row r="54" spans="1:44" x14ac:dyDescent="0.25">
      <c r="A54" t="s">
        <v>219</v>
      </c>
      <c r="B54" s="6">
        <v>2500</v>
      </c>
      <c r="C54" t="s">
        <v>249</v>
      </c>
      <c r="D54" s="14">
        <v>46270</v>
      </c>
      <c r="E54" s="38" t="s">
        <v>185</v>
      </c>
      <c r="F54" s="14"/>
      <c r="H54" s="6"/>
      <c r="I54" s="38"/>
      <c r="J54" s="14"/>
      <c r="L54" s="6"/>
      <c r="M54" s="38"/>
      <c r="N54" s="14"/>
      <c r="P54" s="6"/>
      <c r="Q54" s="38"/>
      <c r="R54" s="14"/>
      <c r="T54" s="6"/>
      <c r="U54" s="38"/>
      <c r="V54" s="14"/>
      <c r="X54" s="6"/>
      <c r="Y54" s="38"/>
      <c r="Z54" s="14"/>
      <c r="AB54" s="6"/>
      <c r="AC54" s="38"/>
      <c r="AD54" s="14"/>
      <c r="AF54" s="6"/>
      <c r="AG54" s="38"/>
      <c r="AH54" s="14"/>
      <c r="AJ54" s="6"/>
      <c r="AK54" s="38"/>
      <c r="AL54" s="14"/>
      <c r="AO54" s="6"/>
      <c r="AP54" s="38"/>
      <c r="AR54" s="40"/>
    </row>
    <row r="55" spans="1:44" x14ac:dyDescent="0.25">
      <c r="A55" t="s">
        <v>219</v>
      </c>
      <c r="B55" s="6">
        <v>2500</v>
      </c>
      <c r="C55" t="s">
        <v>250</v>
      </c>
      <c r="D55" s="14">
        <v>46277</v>
      </c>
      <c r="E55" s="38" t="s">
        <v>185</v>
      </c>
      <c r="F55" s="14"/>
      <c r="H55" s="6"/>
      <c r="I55" s="38"/>
      <c r="J55" s="14"/>
      <c r="L55" s="6"/>
      <c r="M55" s="38"/>
      <c r="N55" s="14"/>
      <c r="P55" s="6"/>
      <c r="Q55" s="38"/>
      <c r="R55" s="14"/>
      <c r="T55" s="6"/>
      <c r="U55" s="38"/>
      <c r="V55" s="14"/>
      <c r="X55" s="6"/>
      <c r="Y55" s="38"/>
      <c r="Z55" s="14"/>
      <c r="AB55" s="6"/>
      <c r="AC55" s="38"/>
      <c r="AD55" s="14"/>
      <c r="AF55" s="6"/>
      <c r="AG55" s="38"/>
      <c r="AH55" s="14"/>
      <c r="AJ55" s="6"/>
      <c r="AK55" s="38"/>
      <c r="AL55" s="14"/>
      <c r="AO55" s="6"/>
      <c r="AP55" s="38"/>
      <c r="AR55" s="40"/>
    </row>
    <row r="56" spans="1:44" x14ac:dyDescent="0.25">
      <c r="A56" t="s">
        <v>219</v>
      </c>
      <c r="B56" s="6">
        <v>2500</v>
      </c>
      <c r="C56" t="s">
        <v>251</v>
      </c>
      <c r="D56" s="14">
        <v>46284</v>
      </c>
      <c r="E56" s="38" t="s">
        <v>185</v>
      </c>
      <c r="F56" s="14"/>
      <c r="H56" s="6"/>
      <c r="I56" s="38"/>
      <c r="J56" s="14"/>
      <c r="L56" s="6"/>
      <c r="M56" s="38"/>
      <c r="N56" s="14"/>
      <c r="P56" s="6"/>
      <c r="Q56" s="38"/>
      <c r="R56" s="14"/>
      <c r="T56" s="6"/>
      <c r="U56" s="38"/>
      <c r="V56" s="14"/>
      <c r="X56" s="6"/>
      <c r="Y56" s="38"/>
      <c r="Z56" s="14"/>
      <c r="AB56" s="6"/>
      <c r="AC56" s="38"/>
      <c r="AD56" s="14"/>
      <c r="AF56" s="6"/>
      <c r="AG56" s="38"/>
      <c r="AH56" s="14"/>
      <c r="AJ56" s="6"/>
      <c r="AK56" s="38"/>
      <c r="AL56" s="14"/>
      <c r="AO56" s="6"/>
      <c r="AP56" s="38"/>
      <c r="AR56" s="40"/>
    </row>
    <row r="57" spans="1:44" x14ac:dyDescent="0.25">
      <c r="A57" t="s">
        <v>219</v>
      </c>
      <c r="B57" s="6">
        <v>2500</v>
      </c>
      <c r="C57" t="s">
        <v>252</v>
      </c>
      <c r="D57" s="14">
        <v>46291</v>
      </c>
      <c r="E57" s="38" t="s">
        <v>185</v>
      </c>
      <c r="F57" s="14"/>
      <c r="H57" s="6"/>
      <c r="I57" s="38"/>
      <c r="J57" s="14"/>
      <c r="L57" s="6"/>
      <c r="M57" s="38"/>
      <c r="N57" s="14"/>
      <c r="P57" s="6"/>
      <c r="Q57" s="38"/>
      <c r="R57" s="14"/>
      <c r="T57" s="6"/>
      <c r="U57" s="38"/>
      <c r="V57" s="14"/>
      <c r="X57" s="6"/>
      <c r="Y57" s="38"/>
      <c r="Z57" s="14"/>
      <c r="AB57" s="6"/>
      <c r="AC57" s="38"/>
      <c r="AD57" s="14"/>
      <c r="AF57" s="6"/>
      <c r="AG57" s="38"/>
      <c r="AH57" s="14"/>
      <c r="AJ57" s="6"/>
      <c r="AK57" s="38"/>
      <c r="AL57" s="14"/>
      <c r="AO57" s="6"/>
      <c r="AP57" s="38"/>
      <c r="AR57" s="40"/>
    </row>
    <row r="58" spans="1:44" x14ac:dyDescent="0.25">
      <c r="A58" t="s">
        <v>219</v>
      </c>
      <c r="B58" s="6"/>
      <c r="C58" t="s">
        <v>268</v>
      </c>
      <c r="D58" s="14"/>
      <c r="E58" s="38"/>
      <c r="F58" s="14"/>
      <c r="H58" s="6"/>
      <c r="I58" s="38"/>
      <c r="J58" s="14"/>
      <c r="L58" s="6"/>
      <c r="M58" s="38"/>
      <c r="N58" s="14"/>
      <c r="P58" s="6"/>
      <c r="Q58" s="38"/>
      <c r="R58" s="14"/>
      <c r="T58" s="6"/>
      <c r="U58" s="38"/>
      <c r="V58" s="14"/>
      <c r="X58" s="6"/>
      <c r="Y58" s="38"/>
      <c r="Z58" s="14"/>
      <c r="AB58" s="6"/>
      <c r="AC58" s="38"/>
      <c r="AD58" s="14"/>
      <c r="AF58" s="6"/>
      <c r="AG58" s="38"/>
      <c r="AH58" s="14"/>
      <c r="AJ58" s="6"/>
      <c r="AK58" s="38"/>
      <c r="AL58" s="14"/>
      <c r="AO58" s="6"/>
      <c r="AP58" s="38"/>
      <c r="AR58" s="40"/>
    </row>
    <row r="59" spans="1:44" x14ac:dyDescent="0.25">
      <c r="A59" t="s">
        <v>187</v>
      </c>
      <c r="B59" s="6">
        <v>10500</v>
      </c>
      <c r="C59"/>
      <c r="D59" s="14">
        <v>46268</v>
      </c>
      <c r="E59" s="38" t="s">
        <v>185</v>
      </c>
      <c r="F59" s="14"/>
      <c r="H59" s="6"/>
      <c r="I59" s="38"/>
      <c r="J59" s="14"/>
      <c r="L59" s="6"/>
      <c r="M59" s="38"/>
      <c r="N59" s="14"/>
      <c r="P59" s="6"/>
      <c r="Q59" s="38"/>
      <c r="R59" s="14"/>
      <c r="T59" s="6"/>
      <c r="U59" s="38"/>
      <c r="V59" s="14"/>
      <c r="X59" s="6"/>
      <c r="Y59" s="38"/>
      <c r="Z59" s="14"/>
      <c r="AB59" s="6"/>
      <c r="AC59" s="38"/>
      <c r="AD59" s="14"/>
      <c r="AF59" s="6"/>
      <c r="AG59" s="38"/>
      <c r="AH59" s="14"/>
      <c r="AJ59" s="6"/>
      <c r="AK59" s="38"/>
      <c r="AL59" s="14"/>
      <c r="AO59" s="6"/>
      <c r="AP59" s="38"/>
      <c r="AR59" s="40"/>
    </row>
    <row r="60" spans="1:44" x14ac:dyDescent="0.25">
      <c r="A60" t="s">
        <v>218</v>
      </c>
      <c r="B60" s="6">
        <v>5000</v>
      </c>
      <c r="C60" t="s">
        <v>8</v>
      </c>
      <c r="D60" s="14">
        <v>46288</v>
      </c>
      <c r="E60" s="38" t="s">
        <v>185</v>
      </c>
      <c r="F60" s="14"/>
      <c r="H60" s="6"/>
      <c r="I60" s="38"/>
      <c r="J60" s="14"/>
      <c r="L60" s="6"/>
      <c r="M60" s="38"/>
      <c r="N60" s="14"/>
      <c r="P60" s="6"/>
      <c r="Q60" s="38"/>
      <c r="R60" s="14"/>
      <c r="T60" s="6"/>
      <c r="U60" s="38"/>
      <c r="V60" s="14"/>
      <c r="X60" s="6"/>
      <c r="Y60" s="38"/>
      <c r="Z60" s="14"/>
      <c r="AB60" s="6"/>
      <c r="AC60" s="38"/>
      <c r="AD60" s="14"/>
      <c r="AF60" s="6"/>
      <c r="AG60" s="38"/>
      <c r="AH60" s="14"/>
      <c r="AJ60" s="6"/>
      <c r="AK60" s="38"/>
      <c r="AL60" s="14"/>
      <c r="AO60" s="6"/>
      <c r="AP60" s="38"/>
      <c r="AR60" s="40"/>
    </row>
    <row r="61" spans="1:44" x14ac:dyDescent="0.25">
      <c r="A61" t="s">
        <v>217</v>
      </c>
      <c r="B61" s="6">
        <v>21000</v>
      </c>
      <c r="C61" t="s">
        <v>8</v>
      </c>
      <c r="D61" s="14">
        <v>46288</v>
      </c>
      <c r="E61" s="38" t="s">
        <v>185</v>
      </c>
      <c r="F61" s="14"/>
      <c r="H61" s="6"/>
      <c r="I61" s="38"/>
      <c r="J61" s="14"/>
      <c r="L61" s="6"/>
      <c r="M61" s="38"/>
      <c r="N61" s="14"/>
      <c r="P61" s="6"/>
      <c r="Q61" s="38"/>
      <c r="R61" s="14"/>
      <c r="T61" s="6"/>
      <c r="U61" s="38"/>
      <c r="V61" s="14"/>
      <c r="X61" s="6"/>
      <c r="Y61" s="38"/>
      <c r="Z61" s="14"/>
      <c r="AB61" s="6"/>
      <c r="AC61" s="38"/>
      <c r="AD61" s="14"/>
      <c r="AF61" s="6"/>
      <c r="AG61" s="38"/>
      <c r="AH61" s="14"/>
      <c r="AJ61" s="6"/>
      <c r="AK61" s="38"/>
      <c r="AL61" s="14"/>
      <c r="AO61" s="6"/>
      <c r="AP61" s="38"/>
      <c r="AR61" s="40"/>
    </row>
    <row r="62" spans="1:44" x14ac:dyDescent="0.25">
      <c r="A62" t="s">
        <v>231</v>
      </c>
      <c r="B62" s="6">
        <v>12000</v>
      </c>
      <c r="C62" t="s">
        <v>12</v>
      </c>
      <c r="D62" s="14">
        <v>46277</v>
      </c>
      <c r="E62" s="38" t="s">
        <v>185</v>
      </c>
      <c r="F62" s="14"/>
      <c r="H62" s="6"/>
      <c r="I62" s="38"/>
      <c r="J62" s="14"/>
      <c r="L62" s="6"/>
      <c r="M62" s="38"/>
      <c r="N62" s="14"/>
      <c r="P62" s="6"/>
      <c r="Q62" s="38"/>
      <c r="R62" s="14"/>
      <c r="T62" s="6"/>
      <c r="U62" s="38"/>
      <c r="V62" s="14"/>
      <c r="X62" s="6"/>
      <c r="Y62" s="38"/>
      <c r="Z62" s="14"/>
      <c r="AB62" s="6"/>
      <c r="AC62" s="38"/>
      <c r="AD62" s="14"/>
      <c r="AF62" s="6"/>
      <c r="AG62" s="38"/>
      <c r="AH62" s="14"/>
      <c r="AJ62" s="6"/>
      <c r="AK62" s="38"/>
      <c r="AL62" s="14"/>
      <c r="AO62" s="6"/>
      <c r="AP62" s="38"/>
      <c r="AR62" s="40"/>
    </row>
    <row r="63" spans="1:44" x14ac:dyDescent="0.25">
      <c r="A63" t="s">
        <v>126</v>
      </c>
      <c r="B63" s="6">
        <v>50000</v>
      </c>
      <c r="C63"/>
      <c r="D63" s="14">
        <v>46294</v>
      </c>
      <c r="E63" s="38" t="s">
        <v>185</v>
      </c>
      <c r="F63" s="14"/>
      <c r="H63" s="6"/>
      <c r="I63" s="38"/>
      <c r="J63" s="14"/>
      <c r="L63" s="6"/>
      <c r="M63" s="38"/>
      <c r="N63" s="14"/>
      <c r="P63" s="6"/>
      <c r="Q63" s="38"/>
      <c r="R63" s="14"/>
      <c r="T63" s="6"/>
      <c r="U63" s="38"/>
      <c r="V63" s="14"/>
      <c r="X63" s="6"/>
      <c r="Y63" s="38"/>
      <c r="Z63" s="14"/>
      <c r="AB63" s="6"/>
      <c r="AC63" s="38"/>
      <c r="AD63" s="14"/>
      <c r="AF63" s="6"/>
      <c r="AG63" s="38"/>
      <c r="AH63" s="14"/>
      <c r="AJ63" s="6"/>
      <c r="AK63" s="38"/>
      <c r="AL63" s="14"/>
      <c r="AO63" s="6"/>
      <c r="AP63" s="38"/>
      <c r="AR63" s="40"/>
    </row>
    <row r="64" spans="1:44" x14ac:dyDescent="0.25">
      <c r="A64" s="95" t="s">
        <v>228</v>
      </c>
      <c r="B64" s="96">
        <f>SUM(B35:B63)</f>
        <v>291100</v>
      </c>
      <c r="C64" s="97"/>
      <c r="D64" s="98"/>
      <c r="E64" s="99"/>
      <c r="F64" s="98"/>
      <c r="G64" s="95" t="s">
        <v>228</v>
      </c>
      <c r="H64" s="96">
        <f>SUM(H35:H63)</f>
        <v>0</v>
      </c>
      <c r="I64" s="99"/>
      <c r="J64" s="98"/>
      <c r="K64" s="95" t="s">
        <v>228</v>
      </c>
      <c r="L64" s="96">
        <f>SUM(L35:L63)</f>
        <v>150523</v>
      </c>
      <c r="M64" s="99"/>
      <c r="N64" s="98"/>
      <c r="O64" s="95" t="s">
        <v>228</v>
      </c>
      <c r="P64" s="96">
        <f>SUM(P35:P63)</f>
        <v>51007</v>
      </c>
      <c r="Q64" s="99"/>
      <c r="R64" s="98"/>
      <c r="S64" s="95" t="s">
        <v>228</v>
      </c>
      <c r="T64" s="96">
        <f>SUM(T35:T63)</f>
        <v>123800</v>
      </c>
      <c r="U64" s="99"/>
      <c r="V64" s="98"/>
      <c r="W64" s="95" t="s">
        <v>228</v>
      </c>
      <c r="X64" s="96">
        <f>SUM(X35:X63)</f>
        <v>45000</v>
      </c>
      <c r="Y64" s="99"/>
      <c r="Z64" s="98"/>
      <c r="AA64" s="95" t="s">
        <v>228</v>
      </c>
      <c r="AB64" s="96">
        <f>SUM(AB35:AB63)</f>
        <v>8000</v>
      </c>
      <c r="AC64" s="99"/>
      <c r="AD64" s="98"/>
      <c r="AE64" s="95" t="s">
        <v>228</v>
      </c>
      <c r="AF64" s="96">
        <f>SUM(AF35:AF63)</f>
        <v>3500</v>
      </c>
      <c r="AG64" s="99"/>
      <c r="AH64" s="98"/>
      <c r="AI64" s="95" t="s">
        <v>228</v>
      </c>
      <c r="AJ64" s="96">
        <f>SUM(AJ35:AJ63)</f>
        <v>19400</v>
      </c>
      <c r="AK64" s="99"/>
      <c r="AL64" s="98"/>
      <c r="AM64" s="97"/>
      <c r="AN64" s="95" t="s">
        <v>228</v>
      </c>
      <c r="AO64" s="96">
        <f>SUM(AO35:AO63)</f>
        <v>51900</v>
      </c>
      <c r="AP64" s="99"/>
      <c r="AQ64" s="95" t="s">
        <v>228</v>
      </c>
      <c r="AR64" s="100">
        <f>SUM(AR35:AR63)</f>
        <v>0</v>
      </c>
    </row>
    <row r="65" spans="1:52" s="1" customFormat="1" x14ac:dyDescent="0.25">
      <c r="A65" s="35" t="s">
        <v>474</v>
      </c>
      <c r="B65" s="35"/>
      <c r="C65" s="35"/>
      <c r="D65" s="35"/>
      <c r="E65" s="37"/>
      <c r="F65" s="35"/>
      <c r="G65" s="35"/>
      <c r="H65" s="35"/>
      <c r="I65" s="37"/>
      <c r="J65" s="35"/>
      <c r="K65" s="35"/>
      <c r="L65" s="35"/>
      <c r="M65" s="37"/>
      <c r="N65" s="35"/>
      <c r="O65" s="35"/>
      <c r="P65" s="35"/>
      <c r="Q65" s="37"/>
      <c r="R65" s="35"/>
      <c r="S65" s="35"/>
      <c r="T65" s="35"/>
      <c r="U65" s="37"/>
      <c r="V65" s="35"/>
      <c r="W65" s="35"/>
      <c r="X65" s="35"/>
      <c r="Y65" s="37"/>
      <c r="Z65" s="35"/>
      <c r="AA65" s="35"/>
      <c r="AB65" s="35"/>
      <c r="AC65" s="37"/>
      <c r="AD65" s="35"/>
      <c r="AE65" s="35"/>
      <c r="AF65" s="35"/>
      <c r="AG65" s="37"/>
      <c r="AH65" s="35"/>
      <c r="AI65" s="35"/>
      <c r="AJ65" s="35"/>
      <c r="AK65" s="37"/>
      <c r="AL65" s="35"/>
      <c r="AM65" s="35"/>
      <c r="AN65" s="35"/>
      <c r="AO65" s="35"/>
      <c r="AP65" s="37"/>
      <c r="AQ65" s="35"/>
      <c r="AR65" s="37"/>
      <c r="AS65"/>
      <c r="AT65"/>
      <c r="AU65"/>
      <c r="AV65"/>
      <c r="AW65"/>
      <c r="AX65"/>
      <c r="AY65"/>
      <c r="AZ65"/>
    </row>
    <row r="66" spans="1:52" x14ac:dyDescent="0.25">
      <c r="A66" t="s">
        <v>128</v>
      </c>
      <c r="B66" s="6">
        <v>23000</v>
      </c>
      <c r="C66"/>
      <c r="D66" s="14">
        <v>46300</v>
      </c>
      <c r="E66" s="38" t="s">
        <v>185</v>
      </c>
      <c r="F66" s="14"/>
      <c r="H66" s="6"/>
      <c r="I66" s="38"/>
      <c r="J66" s="14">
        <v>46309</v>
      </c>
      <c r="K66" t="s">
        <v>84</v>
      </c>
      <c r="L66" s="6">
        <v>54650</v>
      </c>
      <c r="M66" s="38" t="s">
        <v>185</v>
      </c>
      <c r="N66" s="14">
        <v>46309</v>
      </c>
      <c r="O66" t="s">
        <v>85</v>
      </c>
      <c r="P66" s="6">
        <v>4380</v>
      </c>
      <c r="Q66" s="38" t="s">
        <v>185</v>
      </c>
      <c r="R66" s="14">
        <v>46298</v>
      </c>
      <c r="S66" t="s">
        <v>221</v>
      </c>
      <c r="T66" s="6">
        <v>38800</v>
      </c>
      <c r="U66" s="38" t="s">
        <v>185</v>
      </c>
      <c r="V66" s="14">
        <v>46298</v>
      </c>
      <c r="W66" t="s">
        <v>333</v>
      </c>
      <c r="X66" s="6">
        <v>15000</v>
      </c>
      <c r="Y66" s="38" t="s">
        <v>185</v>
      </c>
      <c r="Z66" s="14">
        <v>46308</v>
      </c>
      <c r="AA66" t="s">
        <v>186</v>
      </c>
      <c r="AB66" s="6">
        <v>3000</v>
      </c>
      <c r="AC66" s="38" t="s">
        <v>185</v>
      </c>
      <c r="AD66" s="14"/>
      <c r="AE66" t="s">
        <v>85</v>
      </c>
      <c r="AF66" s="6"/>
      <c r="AG66" s="38"/>
      <c r="AH66" s="14"/>
      <c r="AI66" t="s">
        <v>86</v>
      </c>
      <c r="AJ66" s="6"/>
      <c r="AK66" s="38"/>
      <c r="AL66" s="14"/>
      <c r="AN66" t="s">
        <v>87</v>
      </c>
      <c r="AO66" s="6"/>
      <c r="AP66" s="38"/>
      <c r="AQ66" t="s">
        <v>88</v>
      </c>
      <c r="AR66" s="40"/>
    </row>
    <row r="67" spans="1:52" x14ac:dyDescent="0.25">
      <c r="A67" t="s">
        <v>83</v>
      </c>
      <c r="B67" s="6">
        <v>9500</v>
      </c>
      <c r="C67"/>
      <c r="D67" s="14">
        <v>46301</v>
      </c>
      <c r="E67" s="38" t="s">
        <v>185</v>
      </c>
      <c r="F67" s="14"/>
      <c r="H67" s="6"/>
      <c r="I67" s="38"/>
      <c r="J67" s="14">
        <v>46309</v>
      </c>
      <c r="K67" t="s">
        <v>91</v>
      </c>
      <c r="L67" s="6">
        <v>76780</v>
      </c>
      <c r="M67" s="38" t="s">
        <v>185</v>
      </c>
      <c r="N67" s="14">
        <v>46309</v>
      </c>
      <c r="O67" t="s">
        <v>92</v>
      </c>
      <c r="P67" s="6">
        <v>16250</v>
      </c>
      <c r="Q67" s="38" t="s">
        <v>185</v>
      </c>
      <c r="R67" s="14">
        <v>46305</v>
      </c>
      <c r="S67" t="s">
        <v>221</v>
      </c>
      <c r="T67" s="6">
        <v>33500</v>
      </c>
      <c r="U67" s="38" t="s">
        <v>185</v>
      </c>
      <c r="V67" s="14"/>
      <c r="W67" t="s">
        <v>333</v>
      </c>
      <c r="X67" s="6"/>
      <c r="Y67" s="38"/>
      <c r="Z67" s="14"/>
      <c r="AA67" t="s">
        <v>307</v>
      </c>
      <c r="AB67" s="6"/>
      <c r="AC67" s="38"/>
      <c r="AD67" s="14"/>
      <c r="AE67" t="s">
        <v>93</v>
      </c>
      <c r="AF67" s="6"/>
      <c r="AG67" s="38"/>
      <c r="AH67" s="14"/>
      <c r="AI67" t="s">
        <v>94</v>
      </c>
      <c r="AJ67" s="6"/>
      <c r="AK67" s="38"/>
      <c r="AL67" s="14"/>
      <c r="AN67" t="s">
        <v>95</v>
      </c>
      <c r="AO67" s="6"/>
      <c r="AP67" s="38"/>
      <c r="AQ67" t="s">
        <v>96</v>
      </c>
      <c r="AR67" s="40"/>
    </row>
    <row r="68" spans="1:52" x14ac:dyDescent="0.25">
      <c r="A68" t="s">
        <v>89</v>
      </c>
      <c r="B68" s="6">
        <v>10500</v>
      </c>
      <c r="C68" t="s">
        <v>90</v>
      </c>
      <c r="D68" s="14">
        <v>46300</v>
      </c>
      <c r="E68" s="38" t="s">
        <v>185</v>
      </c>
      <c r="F68" s="14"/>
      <c r="H68" s="6"/>
      <c r="I68" s="38"/>
      <c r="J68" s="14">
        <v>46309</v>
      </c>
      <c r="K68" t="s">
        <v>98</v>
      </c>
      <c r="L68" s="6">
        <v>12570</v>
      </c>
      <c r="M68" s="38" t="s">
        <v>185</v>
      </c>
      <c r="N68" s="14">
        <v>46309</v>
      </c>
      <c r="O68" t="s">
        <v>99</v>
      </c>
      <c r="P68" s="6">
        <v>17140</v>
      </c>
      <c r="Q68" s="38" t="s">
        <v>185</v>
      </c>
      <c r="R68" s="14">
        <v>46312</v>
      </c>
      <c r="S68" t="s">
        <v>221</v>
      </c>
      <c r="T68" s="6">
        <v>36500</v>
      </c>
      <c r="U68" s="38" t="s">
        <v>185</v>
      </c>
      <c r="V68" s="14"/>
      <c r="W68" t="s">
        <v>333</v>
      </c>
      <c r="X68" s="6"/>
      <c r="Y68" s="38"/>
      <c r="Z68" s="14"/>
      <c r="AB68" s="6"/>
      <c r="AC68" s="38"/>
      <c r="AD68" s="14"/>
      <c r="AE68" t="s">
        <v>100</v>
      </c>
      <c r="AF68" s="6"/>
      <c r="AG68" s="38"/>
      <c r="AH68" s="14">
        <v>46318</v>
      </c>
      <c r="AI68" t="s">
        <v>101</v>
      </c>
      <c r="AJ68" s="6">
        <v>2200</v>
      </c>
      <c r="AK68" s="38" t="s">
        <v>185</v>
      </c>
      <c r="AL68" s="14"/>
      <c r="AM68" t="s">
        <v>12</v>
      </c>
      <c r="AN68" t="s">
        <v>202</v>
      </c>
      <c r="AO68" s="6"/>
      <c r="AP68" s="38"/>
      <c r="AQ68" t="s">
        <v>102</v>
      </c>
      <c r="AR68" s="40"/>
    </row>
    <row r="69" spans="1:52" x14ac:dyDescent="0.25">
      <c r="A69" t="s">
        <v>97</v>
      </c>
      <c r="B69" s="6">
        <v>10500</v>
      </c>
      <c r="C69"/>
      <c r="D69" s="14">
        <v>46300</v>
      </c>
      <c r="E69" s="38" t="s">
        <v>185</v>
      </c>
      <c r="F69" s="14"/>
      <c r="H69" s="6"/>
      <c r="I69" s="38"/>
      <c r="J69" s="14">
        <v>46309</v>
      </c>
      <c r="K69" t="s">
        <v>103</v>
      </c>
      <c r="L69" s="6">
        <v>50850</v>
      </c>
      <c r="M69" s="38" t="s">
        <v>185</v>
      </c>
      <c r="N69" s="14">
        <v>46309</v>
      </c>
      <c r="O69" t="s">
        <v>104</v>
      </c>
      <c r="P69" s="6">
        <v>7830</v>
      </c>
      <c r="Q69" s="38" t="s">
        <v>185</v>
      </c>
      <c r="R69" s="14"/>
      <c r="S69" t="s">
        <v>221</v>
      </c>
      <c r="T69" s="6"/>
      <c r="U69" s="38"/>
      <c r="V69" s="14"/>
      <c r="W69" t="s">
        <v>333</v>
      </c>
      <c r="X69" s="6"/>
      <c r="Y69" s="38"/>
      <c r="Z69" s="14"/>
      <c r="AB69" s="6"/>
      <c r="AC69" s="38"/>
      <c r="AD69" s="14"/>
      <c r="AE69" t="s">
        <v>103</v>
      </c>
      <c r="AF69" s="6"/>
      <c r="AG69" s="38"/>
      <c r="AH69" s="14"/>
      <c r="AI69" t="s">
        <v>242</v>
      </c>
      <c r="AJ69" s="6"/>
      <c r="AK69" s="38"/>
      <c r="AL69" s="14"/>
      <c r="AN69" t="s">
        <v>309</v>
      </c>
      <c r="AO69" s="6"/>
      <c r="AP69" s="38"/>
      <c r="AQ69" t="s">
        <v>105</v>
      </c>
      <c r="AR69" s="40"/>
    </row>
    <row r="70" spans="1:52" x14ac:dyDescent="0.25">
      <c r="A70" t="s">
        <v>106</v>
      </c>
      <c r="B70" s="6">
        <v>8500</v>
      </c>
      <c r="C70" t="s">
        <v>107</v>
      </c>
      <c r="D70" s="14">
        <v>46308</v>
      </c>
      <c r="E70" s="38" t="s">
        <v>185</v>
      </c>
      <c r="F70" s="14"/>
      <c r="H70" s="6"/>
      <c r="I70" s="38"/>
      <c r="J70" s="14"/>
      <c r="K70" t="s">
        <v>108</v>
      </c>
      <c r="L70" s="6"/>
      <c r="M70" s="38"/>
      <c r="N70" s="14"/>
      <c r="P70" s="6"/>
      <c r="Q70" s="38"/>
      <c r="R70" s="14"/>
      <c r="T70" s="6"/>
      <c r="U70" s="38"/>
      <c r="V70" s="14"/>
      <c r="X70" s="6"/>
      <c r="Y70" s="38"/>
      <c r="Z70" s="14"/>
      <c r="AB70" s="6"/>
      <c r="AC70" s="38"/>
      <c r="AD70" s="14"/>
      <c r="AE70" t="s">
        <v>347</v>
      </c>
      <c r="AF70" s="6"/>
      <c r="AG70" s="38"/>
      <c r="AH70" s="14"/>
      <c r="AI70" t="s">
        <v>265</v>
      </c>
      <c r="AJ70" s="6"/>
      <c r="AK70" s="38"/>
      <c r="AL70" s="14"/>
      <c r="AN70" t="s">
        <v>310</v>
      </c>
      <c r="AO70" s="6"/>
      <c r="AP70" s="38"/>
      <c r="AQ70" t="s">
        <v>112</v>
      </c>
      <c r="AR70" s="40"/>
    </row>
    <row r="71" spans="1:52" x14ac:dyDescent="0.25">
      <c r="A71" t="s">
        <v>110</v>
      </c>
      <c r="B71" s="6">
        <v>3000</v>
      </c>
      <c r="C71"/>
      <c r="D71" s="14">
        <v>46309</v>
      </c>
      <c r="E71" s="38" t="s">
        <v>185</v>
      </c>
      <c r="F71" s="14"/>
      <c r="H71" s="6"/>
      <c r="I71" s="38"/>
      <c r="J71" s="14"/>
      <c r="L71" s="6"/>
      <c r="M71" s="38"/>
      <c r="N71" s="14"/>
      <c r="P71" s="6"/>
      <c r="Q71" s="38"/>
      <c r="R71" s="14"/>
      <c r="T71" s="6"/>
      <c r="U71" s="38"/>
      <c r="V71" s="14"/>
      <c r="X71" s="6"/>
      <c r="Y71" s="38"/>
      <c r="Z71" s="14"/>
      <c r="AB71" s="6"/>
      <c r="AC71" s="38"/>
      <c r="AD71" s="14">
        <v>46310</v>
      </c>
      <c r="AE71" t="s">
        <v>473</v>
      </c>
      <c r="AF71" s="6">
        <v>1500</v>
      </c>
      <c r="AG71" s="38" t="s">
        <v>185</v>
      </c>
      <c r="AH71" s="14"/>
      <c r="AI71" t="s">
        <v>242</v>
      </c>
      <c r="AJ71" s="6"/>
      <c r="AK71" s="38"/>
      <c r="AL71" s="14"/>
      <c r="AN71" t="s">
        <v>312</v>
      </c>
      <c r="AO71" s="6"/>
      <c r="AP71" s="38"/>
      <c r="AR71" s="40"/>
    </row>
    <row r="72" spans="1:52" x14ac:dyDescent="0.25">
      <c r="A72" t="s">
        <v>113</v>
      </c>
      <c r="B72" s="6">
        <v>14000</v>
      </c>
      <c r="C72"/>
      <c r="D72" s="14">
        <v>46307</v>
      </c>
      <c r="E72" s="38" t="s">
        <v>185</v>
      </c>
      <c r="F72" s="14"/>
      <c r="H72" s="6"/>
      <c r="I72" s="38"/>
      <c r="J72" s="14"/>
      <c r="L72" s="6"/>
      <c r="M72" s="38"/>
      <c r="N72" s="14"/>
      <c r="P72" s="6"/>
      <c r="Q72" s="38"/>
      <c r="R72" s="14"/>
      <c r="T72" s="6"/>
      <c r="U72" s="38"/>
      <c r="V72" s="14"/>
      <c r="X72" s="6"/>
      <c r="Y72" s="38"/>
      <c r="Z72" s="14"/>
      <c r="AB72" s="6"/>
      <c r="AC72" s="38"/>
      <c r="AD72" s="14">
        <v>46322</v>
      </c>
      <c r="AE72" t="s">
        <v>473</v>
      </c>
      <c r="AF72" s="6">
        <v>1500</v>
      </c>
      <c r="AG72" s="38" t="s">
        <v>185</v>
      </c>
      <c r="AH72" s="14"/>
      <c r="AI72" t="s">
        <v>334</v>
      </c>
      <c r="AJ72" s="6"/>
      <c r="AK72" s="38"/>
      <c r="AL72" s="14"/>
      <c r="AO72" s="6"/>
      <c r="AP72" s="38"/>
      <c r="AR72" s="40"/>
    </row>
    <row r="73" spans="1:52" x14ac:dyDescent="0.25">
      <c r="A73" t="s">
        <v>114</v>
      </c>
      <c r="B73" s="6">
        <v>13000</v>
      </c>
      <c r="C73" t="s">
        <v>115</v>
      </c>
      <c r="D73" s="14">
        <v>46307</v>
      </c>
      <c r="E73" s="38" t="s">
        <v>185</v>
      </c>
      <c r="F73" s="14"/>
      <c r="H73" s="6"/>
      <c r="I73" s="38"/>
      <c r="J73" s="14"/>
      <c r="L73" s="6"/>
      <c r="M73" s="38"/>
      <c r="N73" s="14"/>
      <c r="P73" s="6"/>
      <c r="Q73" s="38"/>
      <c r="R73" s="14"/>
      <c r="T73" s="6"/>
      <c r="U73" s="38"/>
      <c r="V73" s="14"/>
      <c r="X73" s="6"/>
      <c r="Y73" s="38"/>
      <c r="Z73" s="14"/>
      <c r="AB73" s="6"/>
      <c r="AC73" s="38"/>
      <c r="AD73" s="14"/>
      <c r="AF73" s="6"/>
      <c r="AG73" s="38"/>
      <c r="AH73" s="14"/>
      <c r="AI73" t="s">
        <v>468</v>
      </c>
      <c r="AJ73" s="6"/>
      <c r="AK73" s="38"/>
      <c r="AL73" s="14"/>
      <c r="AO73" s="6"/>
      <c r="AP73" s="38"/>
      <c r="AR73" s="40"/>
    </row>
    <row r="74" spans="1:52" x14ac:dyDescent="0.25">
      <c r="A74" t="s">
        <v>116</v>
      </c>
      <c r="B74" s="6">
        <v>10500</v>
      </c>
      <c r="C74"/>
      <c r="D74" s="14">
        <v>46300</v>
      </c>
      <c r="E74" s="38" t="s">
        <v>185</v>
      </c>
      <c r="F74" s="14"/>
      <c r="H74" s="6"/>
      <c r="I74" s="38"/>
      <c r="J74" s="14"/>
      <c r="L74" s="6"/>
      <c r="M74" s="38"/>
      <c r="N74" s="14"/>
      <c r="P74" s="6"/>
      <c r="Q74" s="38"/>
      <c r="R74" s="14"/>
      <c r="T74" s="6"/>
      <c r="U74" s="38"/>
      <c r="V74" s="14"/>
      <c r="X74" s="6"/>
      <c r="Y74" s="38"/>
      <c r="Z74" s="14"/>
      <c r="AB74" s="6"/>
      <c r="AC74" s="38"/>
      <c r="AD74" s="14"/>
      <c r="AF74" s="6"/>
      <c r="AG74" s="38"/>
      <c r="AH74" s="14"/>
      <c r="AJ74" s="6"/>
      <c r="AK74" s="38"/>
      <c r="AL74" s="14"/>
      <c r="AO74" s="6"/>
      <c r="AP74" s="38"/>
      <c r="AR74" s="40"/>
    </row>
    <row r="75" spans="1:52" x14ac:dyDescent="0.25">
      <c r="A75" t="s">
        <v>117</v>
      </c>
      <c r="B75" s="6">
        <v>10500</v>
      </c>
      <c r="C75" t="s">
        <v>8</v>
      </c>
      <c r="D75" s="14">
        <v>46308</v>
      </c>
      <c r="E75" s="38" t="s">
        <v>185</v>
      </c>
      <c r="F75" s="14"/>
      <c r="H75" s="6"/>
      <c r="I75" s="38"/>
      <c r="J75" s="14"/>
      <c r="L75" s="6"/>
      <c r="M75" s="38"/>
      <c r="N75" s="14"/>
      <c r="P75" s="6"/>
      <c r="Q75" s="38"/>
      <c r="R75" s="14"/>
      <c r="T75" s="6"/>
      <c r="U75" s="38"/>
      <c r="V75" s="14"/>
      <c r="X75" s="6"/>
      <c r="Y75" s="38"/>
      <c r="Z75" s="14"/>
      <c r="AB75" s="6"/>
      <c r="AC75" s="38"/>
      <c r="AD75" s="14"/>
      <c r="AF75" s="6"/>
      <c r="AG75" s="38"/>
      <c r="AH75" s="14"/>
      <c r="AJ75" s="6"/>
      <c r="AK75" s="38"/>
      <c r="AL75" s="14"/>
      <c r="AO75" s="6"/>
      <c r="AP75" s="38"/>
      <c r="AR75" s="40"/>
    </row>
    <row r="76" spans="1:52" x14ac:dyDescent="0.25">
      <c r="A76" t="s">
        <v>118</v>
      </c>
      <c r="B76" s="6">
        <v>9000</v>
      </c>
      <c r="C76"/>
      <c r="D76" s="14">
        <v>46307</v>
      </c>
      <c r="E76" s="38" t="s">
        <v>185</v>
      </c>
      <c r="F76" s="14"/>
      <c r="H76" s="6"/>
      <c r="I76" s="38"/>
      <c r="J76" s="14"/>
      <c r="L76" s="6"/>
      <c r="M76" s="38"/>
      <c r="N76" s="14"/>
      <c r="P76" s="6"/>
      <c r="Q76" s="38"/>
      <c r="R76" s="14"/>
      <c r="T76" s="6"/>
      <c r="U76" s="38"/>
      <c r="V76" s="14"/>
      <c r="X76" s="6"/>
      <c r="Y76" s="38"/>
      <c r="Z76" s="14"/>
      <c r="AB76" s="6"/>
      <c r="AC76" s="38"/>
      <c r="AD76" s="14"/>
      <c r="AF76" s="6"/>
      <c r="AG76" s="38"/>
      <c r="AH76" s="14"/>
      <c r="AJ76" s="6"/>
      <c r="AK76" s="38"/>
      <c r="AL76" s="14"/>
      <c r="AO76" s="6"/>
      <c r="AP76" s="38"/>
      <c r="AR76" s="40"/>
    </row>
    <row r="77" spans="1:52" x14ac:dyDescent="0.25">
      <c r="A77" t="s">
        <v>119</v>
      </c>
      <c r="B77" s="6">
        <v>8750</v>
      </c>
      <c r="C77">
        <v>56</v>
      </c>
      <c r="D77" s="14">
        <v>46307</v>
      </c>
      <c r="E77" s="38" t="s">
        <v>185</v>
      </c>
      <c r="F77" s="14"/>
      <c r="H77" s="6"/>
      <c r="I77" s="38"/>
      <c r="J77" s="14"/>
      <c r="L77" s="6"/>
      <c r="M77" s="38"/>
      <c r="N77" s="14"/>
      <c r="P77" s="6"/>
      <c r="Q77" s="38"/>
      <c r="R77" s="14"/>
      <c r="T77" s="6"/>
      <c r="U77" s="38"/>
      <c r="V77" s="14"/>
      <c r="X77" s="6"/>
      <c r="Y77" s="38"/>
      <c r="Z77" s="14"/>
      <c r="AB77" s="6"/>
      <c r="AC77" s="38"/>
      <c r="AD77" s="14"/>
      <c r="AF77" s="6"/>
      <c r="AG77" s="38"/>
      <c r="AH77" s="14"/>
      <c r="AJ77" s="6"/>
      <c r="AK77" s="38"/>
      <c r="AL77" s="14"/>
      <c r="AO77" s="6"/>
      <c r="AP77" s="38"/>
      <c r="AR77" s="40"/>
    </row>
    <row r="78" spans="1:52" x14ac:dyDescent="0.25">
      <c r="A78" t="s">
        <v>120</v>
      </c>
      <c r="B78" s="6">
        <v>5000</v>
      </c>
      <c r="C78" t="s">
        <v>12</v>
      </c>
      <c r="D78" s="14">
        <v>46307</v>
      </c>
      <c r="E78" s="38" t="s">
        <v>185</v>
      </c>
      <c r="F78" s="14"/>
      <c r="H78" s="6"/>
      <c r="I78" s="38"/>
      <c r="J78" s="14"/>
      <c r="L78" s="6"/>
      <c r="M78" s="38"/>
      <c r="N78" s="14"/>
      <c r="P78" s="6"/>
      <c r="Q78" s="38"/>
      <c r="R78" s="14"/>
      <c r="T78" s="6"/>
      <c r="U78" s="38"/>
      <c r="V78" s="14"/>
      <c r="X78" s="6"/>
      <c r="Y78" s="38"/>
      <c r="Z78" s="14"/>
      <c r="AB78" s="6"/>
      <c r="AC78" s="38"/>
      <c r="AD78" s="14"/>
      <c r="AF78" s="6"/>
      <c r="AG78" s="38"/>
      <c r="AH78" s="14"/>
      <c r="AJ78" s="6"/>
      <c r="AK78" s="38"/>
      <c r="AL78" s="14"/>
      <c r="AO78" s="6"/>
      <c r="AP78" s="38"/>
      <c r="AR78" s="40"/>
    </row>
    <row r="79" spans="1:52" x14ac:dyDescent="0.25">
      <c r="A79" t="s">
        <v>121</v>
      </c>
      <c r="B79" s="6">
        <v>10000</v>
      </c>
      <c r="C79" t="s">
        <v>12</v>
      </c>
      <c r="D79" s="14">
        <v>46307</v>
      </c>
      <c r="E79" s="38" t="s">
        <v>185</v>
      </c>
      <c r="F79" s="14"/>
      <c r="H79" s="6"/>
      <c r="I79" s="38"/>
      <c r="J79" s="14"/>
      <c r="L79" s="6"/>
      <c r="M79" s="38"/>
      <c r="N79" s="14"/>
      <c r="P79" s="6"/>
      <c r="Q79" s="38"/>
      <c r="R79" s="14"/>
      <c r="T79" s="6"/>
      <c r="U79" s="38"/>
      <c r="V79" s="14"/>
      <c r="X79" s="6"/>
      <c r="Y79" s="38"/>
      <c r="Z79" s="14"/>
      <c r="AB79" s="6"/>
      <c r="AC79" s="38"/>
      <c r="AD79" s="14"/>
      <c r="AF79" s="6"/>
      <c r="AG79" s="38"/>
      <c r="AH79" s="14"/>
      <c r="AJ79" s="6"/>
      <c r="AK79" s="38"/>
      <c r="AL79" s="14"/>
      <c r="AO79" s="6"/>
      <c r="AP79" s="38"/>
      <c r="AR79" s="40"/>
    </row>
    <row r="80" spans="1:52" x14ac:dyDescent="0.25">
      <c r="A80" t="s">
        <v>122</v>
      </c>
      <c r="B80" s="6">
        <v>11000</v>
      </c>
      <c r="C80" t="s">
        <v>123</v>
      </c>
      <c r="D80" s="14">
        <v>46309</v>
      </c>
      <c r="E80" s="38" t="s">
        <v>185</v>
      </c>
      <c r="F80" s="14"/>
      <c r="H80" s="6"/>
      <c r="I80" s="38"/>
      <c r="J80" s="14"/>
      <c r="L80" s="6"/>
      <c r="M80" s="38"/>
      <c r="N80" s="14"/>
      <c r="P80" s="6"/>
      <c r="Q80" s="38"/>
      <c r="R80" s="14"/>
      <c r="T80" s="6"/>
      <c r="U80" s="38"/>
      <c r="V80" s="14"/>
      <c r="X80" s="6"/>
      <c r="Y80" s="38"/>
      <c r="Z80" s="14"/>
      <c r="AB80" s="6"/>
      <c r="AC80" s="38"/>
      <c r="AD80" s="14"/>
      <c r="AF80" s="6"/>
      <c r="AG80" s="38"/>
      <c r="AH80" s="14"/>
      <c r="AJ80" s="6"/>
      <c r="AK80" s="38"/>
      <c r="AL80" s="14"/>
      <c r="AO80" s="6"/>
      <c r="AP80" s="38"/>
      <c r="AR80" s="40"/>
    </row>
    <row r="81" spans="1:44" x14ac:dyDescent="0.25">
      <c r="A81" t="s">
        <v>125</v>
      </c>
      <c r="B81" s="6">
        <v>11000</v>
      </c>
      <c r="C81" t="s">
        <v>123</v>
      </c>
      <c r="D81" s="14">
        <v>46309</v>
      </c>
      <c r="E81" s="38" t="s">
        <v>185</v>
      </c>
      <c r="F81" s="14"/>
      <c r="H81" s="6"/>
      <c r="I81" s="38"/>
      <c r="J81" s="14"/>
      <c r="L81" s="6"/>
      <c r="M81" s="38"/>
      <c r="N81" s="14"/>
      <c r="P81" s="6"/>
      <c r="Q81" s="38"/>
      <c r="R81" s="14"/>
      <c r="T81" s="6"/>
      <c r="U81" s="38"/>
      <c r="V81" s="14"/>
      <c r="X81" s="6"/>
      <c r="Y81" s="38"/>
      <c r="Z81" s="14"/>
      <c r="AB81" s="6"/>
      <c r="AC81" s="38"/>
      <c r="AD81" s="14"/>
      <c r="AF81" s="6"/>
      <c r="AG81" s="38"/>
      <c r="AH81" s="14"/>
      <c r="AJ81" s="6"/>
      <c r="AK81" s="38"/>
      <c r="AL81" s="14"/>
      <c r="AO81" s="6"/>
      <c r="AP81" s="38"/>
      <c r="AR81" s="40"/>
    </row>
    <row r="82" spans="1:44" x14ac:dyDescent="0.25">
      <c r="A82" t="s">
        <v>260</v>
      </c>
      <c r="B82" s="6">
        <v>750</v>
      </c>
      <c r="C82"/>
      <c r="D82" s="14">
        <v>46318</v>
      </c>
      <c r="E82" s="38" t="s">
        <v>185</v>
      </c>
      <c r="F82" s="14"/>
      <c r="H82" s="6"/>
      <c r="I82" s="38"/>
      <c r="J82" s="14"/>
      <c r="L82" s="6"/>
      <c r="M82" s="38"/>
      <c r="N82" s="14"/>
      <c r="P82" s="6"/>
      <c r="Q82" s="38"/>
      <c r="R82" s="14"/>
      <c r="T82" s="6"/>
      <c r="U82" s="38"/>
      <c r="V82" s="14"/>
      <c r="X82" s="6"/>
      <c r="Y82" s="38"/>
      <c r="Z82" s="14"/>
      <c r="AB82" s="6"/>
      <c r="AC82" s="38"/>
      <c r="AD82" s="14"/>
      <c r="AF82" s="6"/>
      <c r="AG82" s="38"/>
      <c r="AH82" s="14"/>
      <c r="AJ82" s="6"/>
      <c r="AK82" s="38"/>
      <c r="AL82" s="14"/>
      <c r="AO82" s="6"/>
      <c r="AP82" s="38"/>
      <c r="AR82" s="40"/>
    </row>
    <row r="83" spans="1:44" x14ac:dyDescent="0.25">
      <c r="A83" t="s">
        <v>127</v>
      </c>
      <c r="B83" s="6">
        <v>1600</v>
      </c>
      <c r="C83"/>
      <c r="D83" s="14">
        <v>46308</v>
      </c>
      <c r="E83" s="38" t="s">
        <v>185</v>
      </c>
      <c r="F83" s="14"/>
      <c r="H83" s="6"/>
      <c r="I83" s="38"/>
      <c r="J83" s="14"/>
      <c r="L83" s="6"/>
      <c r="M83" s="38"/>
      <c r="N83" s="14"/>
      <c r="P83" s="6"/>
      <c r="Q83" s="38"/>
      <c r="R83" s="14"/>
      <c r="T83" s="6"/>
      <c r="U83" s="38"/>
      <c r="V83" s="14"/>
      <c r="X83" s="6"/>
      <c r="Y83" s="38"/>
      <c r="Z83" s="14"/>
      <c r="AB83" s="6"/>
      <c r="AC83" s="38"/>
      <c r="AD83" s="14"/>
      <c r="AF83" s="6"/>
      <c r="AG83" s="38"/>
      <c r="AH83" s="14"/>
      <c r="AJ83" s="6"/>
      <c r="AK83" s="38"/>
      <c r="AL83" s="14"/>
      <c r="AO83" s="6"/>
      <c r="AP83" s="38"/>
      <c r="AR83" s="40"/>
    </row>
    <row r="84" spans="1:44" x14ac:dyDescent="0.25">
      <c r="A84" t="s">
        <v>219</v>
      </c>
      <c r="B84" s="6">
        <v>2500</v>
      </c>
      <c r="C84" t="s">
        <v>249</v>
      </c>
      <c r="D84" s="14">
        <v>46298</v>
      </c>
      <c r="E84" s="38" t="s">
        <v>185</v>
      </c>
      <c r="F84" s="14"/>
      <c r="H84" s="6"/>
      <c r="I84" s="38"/>
      <c r="J84" s="14"/>
      <c r="L84" s="6"/>
      <c r="M84" s="38"/>
      <c r="N84" s="14"/>
      <c r="P84" s="6"/>
      <c r="Q84" s="38"/>
      <c r="R84" s="14"/>
      <c r="T84" s="6"/>
      <c r="U84" s="38"/>
      <c r="V84" s="14"/>
      <c r="X84" s="6"/>
      <c r="Y84" s="38"/>
      <c r="Z84" s="14"/>
      <c r="AB84" s="6"/>
      <c r="AC84" s="38"/>
      <c r="AD84" s="14"/>
      <c r="AF84" s="6"/>
      <c r="AG84" s="38"/>
      <c r="AH84" s="14"/>
      <c r="AJ84" s="6"/>
      <c r="AK84" s="38"/>
      <c r="AL84" s="14"/>
      <c r="AO84" s="6"/>
      <c r="AP84" s="38"/>
      <c r="AR84" s="40"/>
    </row>
    <row r="85" spans="1:44" x14ac:dyDescent="0.25">
      <c r="A85" t="s">
        <v>219</v>
      </c>
      <c r="B85" s="6">
        <v>2500</v>
      </c>
      <c r="C85" t="s">
        <v>250</v>
      </c>
      <c r="D85" s="14">
        <v>46305</v>
      </c>
      <c r="E85" s="38" t="s">
        <v>185</v>
      </c>
      <c r="F85" s="14"/>
      <c r="H85" s="6"/>
      <c r="I85" s="38"/>
      <c r="J85" s="14"/>
      <c r="L85" s="6"/>
      <c r="M85" s="38"/>
      <c r="N85" s="14"/>
      <c r="P85" s="6"/>
      <c r="Q85" s="38"/>
      <c r="R85" s="14"/>
      <c r="T85" s="6"/>
      <c r="U85" s="38"/>
      <c r="V85" s="14"/>
      <c r="X85" s="6"/>
      <c r="Y85" s="38"/>
      <c r="Z85" s="14"/>
      <c r="AB85" s="6"/>
      <c r="AC85" s="38"/>
      <c r="AD85" s="14"/>
      <c r="AF85" s="6"/>
      <c r="AG85" s="38"/>
      <c r="AH85" s="14"/>
      <c r="AJ85" s="6"/>
      <c r="AK85" s="38"/>
      <c r="AL85" s="14"/>
      <c r="AO85" s="6"/>
      <c r="AP85" s="38"/>
      <c r="AR85" s="40"/>
    </row>
    <row r="86" spans="1:44" x14ac:dyDescent="0.25">
      <c r="A86" t="s">
        <v>219</v>
      </c>
      <c r="B86" s="6">
        <v>2500</v>
      </c>
      <c r="C86" t="s">
        <v>251</v>
      </c>
      <c r="D86" s="14">
        <v>46313</v>
      </c>
      <c r="E86" s="38" t="s">
        <v>185</v>
      </c>
      <c r="F86" s="14"/>
      <c r="H86" s="6"/>
      <c r="I86" s="38"/>
      <c r="J86" s="14"/>
      <c r="L86" s="6"/>
      <c r="M86" s="38"/>
      <c r="N86" s="14"/>
      <c r="P86" s="6"/>
      <c r="Q86" s="38"/>
      <c r="R86" s="14"/>
      <c r="T86" s="6"/>
      <c r="U86" s="38"/>
      <c r="V86" s="14"/>
      <c r="X86" s="6"/>
      <c r="Y86" s="38"/>
      <c r="Z86" s="14"/>
      <c r="AB86" s="6"/>
      <c r="AC86" s="38"/>
      <c r="AD86" s="14"/>
      <c r="AF86" s="6"/>
      <c r="AG86" s="38"/>
      <c r="AH86" s="14"/>
      <c r="AJ86" s="6"/>
      <c r="AK86" s="38"/>
      <c r="AL86" s="14"/>
      <c r="AO86" s="6"/>
      <c r="AP86" s="38"/>
      <c r="AR86" s="40"/>
    </row>
    <row r="87" spans="1:44" x14ac:dyDescent="0.25">
      <c r="A87" t="s">
        <v>219</v>
      </c>
      <c r="B87" s="6">
        <v>2500</v>
      </c>
      <c r="C87" t="s">
        <v>252</v>
      </c>
      <c r="D87" s="14">
        <v>46319</v>
      </c>
      <c r="E87" s="38" t="s">
        <v>185</v>
      </c>
      <c r="F87" s="14"/>
      <c r="H87" s="6"/>
      <c r="I87" s="38"/>
      <c r="J87" s="14"/>
      <c r="L87" s="6"/>
      <c r="M87" s="38"/>
      <c r="N87" s="14"/>
      <c r="P87" s="6"/>
      <c r="Q87" s="38"/>
      <c r="R87" s="14"/>
      <c r="T87" s="6"/>
      <c r="U87" s="38"/>
      <c r="V87" s="14"/>
      <c r="X87" s="6"/>
      <c r="Y87" s="38"/>
      <c r="Z87" s="14"/>
      <c r="AB87" s="6"/>
      <c r="AC87" s="38"/>
      <c r="AD87" s="14"/>
      <c r="AF87" s="6"/>
      <c r="AG87" s="38"/>
      <c r="AH87" s="14"/>
      <c r="AJ87" s="6"/>
      <c r="AK87" s="38"/>
      <c r="AL87" s="14"/>
      <c r="AO87" s="6"/>
      <c r="AP87" s="38"/>
      <c r="AR87" s="40"/>
    </row>
    <row r="88" spans="1:44" x14ac:dyDescent="0.25">
      <c r="A88" t="s">
        <v>219</v>
      </c>
      <c r="B88" s="6"/>
      <c r="C88" t="s">
        <v>268</v>
      </c>
      <c r="D88" s="14"/>
      <c r="E88" s="38"/>
      <c r="F88" s="14"/>
      <c r="H88" s="6"/>
      <c r="I88" s="38"/>
      <c r="J88" s="14"/>
      <c r="L88" s="6"/>
      <c r="M88" s="38"/>
      <c r="N88" s="14"/>
      <c r="P88" s="6"/>
      <c r="Q88" s="38"/>
      <c r="R88" s="14"/>
      <c r="T88" s="6"/>
      <c r="U88" s="38"/>
      <c r="V88" s="14"/>
      <c r="X88" s="6"/>
      <c r="Y88" s="38"/>
      <c r="Z88" s="14"/>
      <c r="AB88" s="6"/>
      <c r="AC88" s="38"/>
      <c r="AD88" s="14"/>
      <c r="AF88" s="6"/>
      <c r="AG88" s="38"/>
      <c r="AH88" s="14"/>
      <c r="AJ88" s="6"/>
      <c r="AK88" s="38"/>
      <c r="AL88" s="14"/>
      <c r="AO88" s="6"/>
      <c r="AP88" s="38"/>
      <c r="AR88" s="40"/>
    </row>
    <row r="89" spans="1:44" x14ac:dyDescent="0.25">
      <c r="A89" t="s">
        <v>475</v>
      </c>
      <c r="B89" s="6">
        <v>2500</v>
      </c>
      <c r="C89" t="s">
        <v>249</v>
      </c>
      <c r="D89" s="14">
        <v>46298</v>
      </c>
      <c r="E89" s="38" t="s">
        <v>185</v>
      </c>
      <c r="F89" s="14"/>
      <c r="H89" s="6"/>
      <c r="I89" s="38"/>
      <c r="J89" s="14"/>
      <c r="L89" s="6"/>
      <c r="M89" s="38"/>
      <c r="N89" s="14"/>
      <c r="P89" s="6"/>
      <c r="Q89" s="38"/>
      <c r="R89" s="14"/>
      <c r="T89" s="6"/>
      <c r="U89" s="38"/>
      <c r="V89" s="14"/>
      <c r="X89" s="6"/>
      <c r="Y89" s="38"/>
      <c r="Z89" s="14"/>
      <c r="AB89" s="6"/>
      <c r="AC89" s="38"/>
      <c r="AD89" s="14"/>
      <c r="AF89" s="6"/>
      <c r="AG89" s="38"/>
      <c r="AH89" s="14"/>
      <c r="AJ89" s="6"/>
      <c r="AK89" s="38"/>
      <c r="AL89" s="14"/>
      <c r="AO89" s="6"/>
      <c r="AP89" s="38"/>
      <c r="AR89" s="40"/>
    </row>
    <row r="90" spans="1:44" x14ac:dyDescent="0.25">
      <c r="A90" t="s">
        <v>475</v>
      </c>
      <c r="B90" s="6">
        <v>2500</v>
      </c>
      <c r="C90" t="s">
        <v>250</v>
      </c>
      <c r="D90" s="14">
        <v>46305</v>
      </c>
      <c r="E90" s="38" t="s">
        <v>185</v>
      </c>
      <c r="F90" s="14"/>
      <c r="H90" s="6"/>
      <c r="I90" s="38"/>
      <c r="J90" s="14"/>
      <c r="L90" s="6"/>
      <c r="M90" s="38"/>
      <c r="N90" s="14"/>
      <c r="P90" s="6"/>
      <c r="Q90" s="38"/>
      <c r="R90" s="14"/>
      <c r="T90" s="6"/>
      <c r="U90" s="38"/>
      <c r="V90" s="14"/>
      <c r="X90" s="6"/>
      <c r="Y90" s="38"/>
      <c r="Z90" s="14"/>
      <c r="AB90" s="6"/>
      <c r="AC90" s="38"/>
      <c r="AD90" s="14"/>
      <c r="AF90" s="6"/>
      <c r="AG90" s="38"/>
      <c r="AH90" s="14"/>
      <c r="AJ90" s="6"/>
      <c r="AK90" s="38"/>
      <c r="AL90" s="14"/>
      <c r="AO90" s="6"/>
      <c r="AP90" s="38"/>
      <c r="AR90" s="40"/>
    </row>
    <row r="91" spans="1:44" x14ac:dyDescent="0.25">
      <c r="A91" t="s">
        <v>475</v>
      </c>
      <c r="B91" s="6">
        <v>2500</v>
      </c>
      <c r="C91" t="s">
        <v>251</v>
      </c>
      <c r="D91" s="14">
        <v>46313</v>
      </c>
      <c r="E91" s="38" t="s">
        <v>185</v>
      </c>
      <c r="F91" s="14"/>
      <c r="H91" s="6"/>
      <c r="I91" s="38"/>
      <c r="J91" s="14"/>
      <c r="L91" s="6"/>
      <c r="M91" s="38"/>
      <c r="N91" s="14"/>
      <c r="P91" s="6"/>
      <c r="Q91" s="38"/>
      <c r="R91" s="14"/>
      <c r="T91" s="6"/>
      <c r="U91" s="38"/>
      <c r="V91" s="14"/>
      <c r="X91" s="6"/>
      <c r="Y91" s="38"/>
      <c r="Z91" s="14"/>
      <c r="AB91" s="6"/>
      <c r="AC91" s="38"/>
      <c r="AD91" s="14"/>
      <c r="AF91" s="6"/>
      <c r="AG91" s="38"/>
      <c r="AH91" s="14"/>
      <c r="AJ91" s="6"/>
      <c r="AK91" s="38"/>
      <c r="AL91" s="14"/>
      <c r="AO91" s="6"/>
      <c r="AP91" s="38"/>
      <c r="AR91" s="40"/>
    </row>
    <row r="92" spans="1:44" x14ac:dyDescent="0.25">
      <c r="A92" t="s">
        <v>475</v>
      </c>
      <c r="B92" s="6">
        <v>2500</v>
      </c>
      <c r="C92" t="s">
        <v>252</v>
      </c>
      <c r="D92" s="14">
        <v>46319</v>
      </c>
      <c r="E92" s="38" t="s">
        <v>185</v>
      </c>
      <c r="F92" s="14"/>
      <c r="H92" s="6"/>
      <c r="I92" s="38"/>
      <c r="J92" s="14"/>
      <c r="L92" s="6"/>
      <c r="M92" s="38"/>
      <c r="N92" s="14"/>
      <c r="P92" s="6"/>
      <c r="Q92" s="38"/>
      <c r="R92" s="14"/>
      <c r="T92" s="6"/>
      <c r="U92" s="38"/>
      <c r="V92" s="14"/>
      <c r="X92" s="6"/>
      <c r="Y92" s="38"/>
      <c r="Z92" s="14"/>
      <c r="AB92" s="6"/>
      <c r="AC92" s="38"/>
      <c r="AD92" s="14"/>
      <c r="AF92" s="6"/>
      <c r="AG92" s="38"/>
      <c r="AH92" s="14"/>
      <c r="AJ92" s="6"/>
      <c r="AK92" s="38"/>
      <c r="AL92" s="14"/>
      <c r="AO92" s="6"/>
      <c r="AP92" s="38"/>
      <c r="AR92" s="40"/>
    </row>
    <row r="93" spans="1:44" x14ac:dyDescent="0.25">
      <c r="A93" t="s">
        <v>187</v>
      </c>
      <c r="B93" s="6">
        <v>10500</v>
      </c>
      <c r="C93"/>
      <c r="D93" s="14">
        <v>46310</v>
      </c>
      <c r="E93" s="38" t="s">
        <v>185</v>
      </c>
      <c r="F93" s="14"/>
      <c r="H93" s="6"/>
      <c r="I93" s="38"/>
      <c r="J93" s="14"/>
      <c r="L93" s="6"/>
      <c r="M93" s="38"/>
      <c r="N93" s="14"/>
      <c r="P93" s="6"/>
      <c r="Q93" s="38"/>
      <c r="R93" s="14"/>
      <c r="T93" s="6"/>
      <c r="U93" s="38"/>
      <c r="V93" s="14"/>
      <c r="X93" s="6"/>
      <c r="Y93" s="38"/>
      <c r="Z93" s="14"/>
      <c r="AB93" s="6"/>
      <c r="AC93" s="38"/>
      <c r="AD93" s="14"/>
      <c r="AF93" s="6"/>
      <c r="AG93" s="38"/>
      <c r="AH93" s="14"/>
      <c r="AJ93" s="6"/>
      <c r="AK93" s="38"/>
      <c r="AL93" s="14"/>
      <c r="AO93" s="6"/>
      <c r="AP93" s="38"/>
      <c r="AR93" s="40"/>
    </row>
    <row r="94" spans="1:44" x14ac:dyDescent="0.25">
      <c r="A94" t="s">
        <v>218</v>
      </c>
      <c r="B94" s="6">
        <v>5000</v>
      </c>
      <c r="C94" t="s">
        <v>8</v>
      </c>
      <c r="D94" s="14">
        <v>46310</v>
      </c>
      <c r="E94" s="38" t="s">
        <v>185</v>
      </c>
      <c r="F94" s="14"/>
      <c r="H94" s="6"/>
      <c r="I94" s="38"/>
      <c r="J94" s="14"/>
      <c r="L94" s="6"/>
      <c r="M94" s="38"/>
      <c r="N94" s="14"/>
      <c r="P94" s="6"/>
      <c r="Q94" s="38"/>
      <c r="R94" s="14"/>
      <c r="T94" s="6"/>
      <c r="U94" s="38"/>
      <c r="V94" s="14"/>
      <c r="X94" s="6"/>
      <c r="Y94" s="38"/>
      <c r="Z94" s="14"/>
      <c r="AB94" s="6"/>
      <c r="AC94" s="38"/>
      <c r="AD94" s="14"/>
      <c r="AF94" s="6"/>
      <c r="AG94" s="38"/>
      <c r="AH94" s="14"/>
      <c r="AJ94" s="6"/>
      <c r="AK94" s="38"/>
      <c r="AL94" s="14"/>
      <c r="AO94" s="6"/>
      <c r="AP94" s="38"/>
      <c r="AR94" s="40"/>
    </row>
    <row r="95" spans="1:44" x14ac:dyDescent="0.25">
      <c r="A95" t="s">
        <v>217</v>
      </c>
      <c r="B95" s="6">
        <v>21000</v>
      </c>
      <c r="C95" t="s">
        <v>8</v>
      </c>
      <c r="D95" s="14">
        <v>46313</v>
      </c>
      <c r="E95" s="38" t="s">
        <v>185</v>
      </c>
      <c r="F95" s="14"/>
      <c r="H95" s="6"/>
      <c r="I95" s="38"/>
      <c r="J95" s="14"/>
      <c r="L95" s="6"/>
      <c r="M95" s="38"/>
      <c r="N95" s="14"/>
      <c r="P95" s="6"/>
      <c r="Q95" s="38"/>
      <c r="R95" s="14"/>
      <c r="T95" s="6"/>
      <c r="U95" s="38"/>
      <c r="V95" s="14"/>
      <c r="X95" s="6"/>
      <c r="Y95" s="38"/>
      <c r="Z95" s="14"/>
      <c r="AB95" s="6"/>
      <c r="AC95" s="38"/>
      <c r="AD95" s="14"/>
      <c r="AF95" s="6"/>
      <c r="AG95" s="38"/>
      <c r="AH95" s="14"/>
      <c r="AJ95" s="6"/>
      <c r="AK95" s="38"/>
      <c r="AL95" s="14"/>
      <c r="AO95" s="6"/>
      <c r="AP95" s="38"/>
      <c r="AR95" s="40"/>
    </row>
    <row r="96" spans="1:44" x14ac:dyDescent="0.25">
      <c r="A96" t="s">
        <v>231</v>
      </c>
      <c r="B96" s="6">
        <v>12000</v>
      </c>
      <c r="C96" t="s">
        <v>12</v>
      </c>
      <c r="D96" s="14">
        <v>46307</v>
      </c>
      <c r="E96" s="38" t="s">
        <v>185</v>
      </c>
      <c r="F96" s="14"/>
      <c r="H96" s="6"/>
      <c r="I96" s="38"/>
      <c r="J96" s="14"/>
      <c r="L96" s="6"/>
      <c r="M96" s="38"/>
      <c r="N96" s="14"/>
      <c r="P96" s="6"/>
      <c r="Q96" s="38"/>
      <c r="R96" s="14"/>
      <c r="T96" s="6"/>
      <c r="U96" s="38"/>
      <c r="V96" s="14"/>
      <c r="X96" s="6"/>
      <c r="Y96" s="38"/>
      <c r="Z96" s="14"/>
      <c r="AB96" s="6"/>
      <c r="AC96" s="38"/>
      <c r="AD96" s="14"/>
      <c r="AF96" s="6"/>
      <c r="AG96" s="38"/>
      <c r="AH96" s="14"/>
      <c r="AJ96" s="6"/>
      <c r="AK96" s="38"/>
      <c r="AL96" s="14"/>
      <c r="AO96" s="6"/>
      <c r="AP96" s="38"/>
      <c r="AR96" s="40"/>
    </row>
    <row r="97" spans="1:44" x14ac:dyDescent="0.25">
      <c r="A97" t="s">
        <v>126</v>
      </c>
      <c r="B97" s="6">
        <v>50000</v>
      </c>
      <c r="C97"/>
      <c r="D97" s="14"/>
      <c r="E97" s="38"/>
      <c r="F97" s="14"/>
      <c r="H97" s="6"/>
      <c r="I97" s="38"/>
      <c r="J97" s="14"/>
      <c r="L97" s="6"/>
      <c r="M97" s="38"/>
      <c r="N97" s="14"/>
      <c r="P97" s="6"/>
      <c r="Q97" s="38"/>
      <c r="R97" s="14"/>
      <c r="T97" s="6"/>
      <c r="U97" s="38"/>
      <c r="V97" s="14"/>
      <c r="X97" s="6"/>
      <c r="Y97" s="38"/>
      <c r="Z97" s="14"/>
      <c r="AB97" s="6"/>
      <c r="AC97" s="38"/>
      <c r="AD97" s="14"/>
      <c r="AF97" s="6"/>
      <c r="AG97" s="38"/>
      <c r="AH97" s="14"/>
      <c r="AJ97" s="6"/>
      <c r="AK97" s="38"/>
      <c r="AL97" s="14"/>
      <c r="AO97" s="6"/>
      <c r="AP97" s="38"/>
      <c r="AR97" s="40"/>
    </row>
    <row r="98" spans="1:44" x14ac:dyDescent="0.25">
      <c r="A98" s="95" t="s">
        <v>228</v>
      </c>
      <c r="B98" s="96">
        <f>SUM(B66:B97)</f>
        <v>288600</v>
      </c>
      <c r="C98" s="97"/>
      <c r="D98" s="98"/>
      <c r="E98" s="99"/>
      <c r="F98" s="98"/>
      <c r="G98" s="95" t="s">
        <v>228</v>
      </c>
      <c r="H98" s="96">
        <f>SUM(H66:H97)</f>
        <v>0</v>
      </c>
      <c r="I98" s="99"/>
      <c r="J98" s="98"/>
      <c r="K98" s="95" t="s">
        <v>228</v>
      </c>
      <c r="L98" s="96">
        <f>SUM(L66:L97)</f>
        <v>194850</v>
      </c>
      <c r="M98" s="99"/>
      <c r="N98" s="98"/>
      <c r="O98" s="95" t="s">
        <v>228</v>
      </c>
      <c r="P98" s="96">
        <f>SUM(P66:P97)</f>
        <v>45600</v>
      </c>
      <c r="Q98" s="99"/>
      <c r="R98" s="98"/>
      <c r="S98" s="95" t="s">
        <v>228</v>
      </c>
      <c r="T98" s="96">
        <f>SUM(T66:T97)</f>
        <v>108800</v>
      </c>
      <c r="U98" s="99"/>
      <c r="V98" s="98"/>
      <c r="W98" s="95" t="s">
        <v>228</v>
      </c>
      <c r="X98" s="96">
        <f>SUM(X66:X97)</f>
        <v>15000</v>
      </c>
      <c r="Y98" s="99"/>
      <c r="Z98" s="98"/>
      <c r="AA98" s="95" t="s">
        <v>228</v>
      </c>
      <c r="AB98" s="96">
        <f>SUM(AB66:AB97)</f>
        <v>3000</v>
      </c>
      <c r="AC98" s="99"/>
      <c r="AD98" s="98"/>
      <c r="AE98" s="95" t="s">
        <v>228</v>
      </c>
      <c r="AF98" s="96">
        <f>SUM(AF66:AF97)</f>
        <v>3000</v>
      </c>
      <c r="AG98" s="99"/>
      <c r="AH98" s="98"/>
      <c r="AI98" s="95" t="s">
        <v>228</v>
      </c>
      <c r="AJ98" s="96">
        <f>SUM(AJ66:AJ97)</f>
        <v>2200</v>
      </c>
      <c r="AK98" s="99"/>
      <c r="AL98" s="98"/>
      <c r="AM98" s="97"/>
      <c r="AN98" s="95" t="s">
        <v>228</v>
      </c>
      <c r="AO98" s="96">
        <f>SUM(AO66:AO97)</f>
        <v>0</v>
      </c>
      <c r="AP98" s="99"/>
      <c r="AQ98" s="95" t="s">
        <v>228</v>
      </c>
      <c r="AR98" s="100">
        <f>SUM(AR66:AR97)</f>
        <v>0</v>
      </c>
    </row>
    <row r="99" spans="1:44" x14ac:dyDescent="0.25">
      <c r="C99"/>
      <c r="D99"/>
      <c r="E99"/>
    </row>
    <row r="100" spans="1:44" x14ac:dyDescent="0.25">
      <c r="C100"/>
      <c r="D100"/>
      <c r="E100"/>
    </row>
    <row r="101" spans="1:44" x14ac:dyDescent="0.25">
      <c r="C101"/>
      <c r="D101"/>
      <c r="E101"/>
    </row>
    <row r="102" spans="1:44" x14ac:dyDescent="0.25">
      <c r="C102"/>
      <c r="D102"/>
      <c r="E102"/>
    </row>
    <row r="103" spans="1:44" x14ac:dyDescent="0.25">
      <c r="C103"/>
      <c r="D103"/>
      <c r="E103"/>
    </row>
    <row r="104" spans="1:44" x14ac:dyDescent="0.25">
      <c r="C104"/>
      <c r="D104"/>
      <c r="E104"/>
    </row>
    <row r="105" spans="1:44" x14ac:dyDescent="0.25">
      <c r="C105"/>
      <c r="D105"/>
      <c r="E105"/>
    </row>
    <row r="106" spans="1:44" x14ac:dyDescent="0.25">
      <c r="C106"/>
      <c r="D106"/>
      <c r="E106"/>
    </row>
    <row r="107" spans="1:44" x14ac:dyDescent="0.25">
      <c r="C107"/>
      <c r="D107"/>
      <c r="E107"/>
    </row>
    <row r="108" spans="1:44" x14ac:dyDescent="0.25">
      <c r="C108"/>
      <c r="D108"/>
      <c r="E108"/>
    </row>
    <row r="109" spans="1:44" x14ac:dyDescent="0.25">
      <c r="C109"/>
      <c r="D109"/>
      <c r="E109"/>
    </row>
    <row r="110" spans="1:44" x14ac:dyDescent="0.25">
      <c r="C110"/>
      <c r="D110"/>
      <c r="E110"/>
    </row>
    <row r="111" spans="1:44" x14ac:dyDescent="0.25">
      <c r="C111"/>
      <c r="D111"/>
      <c r="E111"/>
    </row>
    <row r="112" spans="1:44" x14ac:dyDescent="0.25">
      <c r="C112"/>
      <c r="D112"/>
      <c r="E112"/>
    </row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</sheetData>
  <autoFilter ref="A1:G1" xr:uid="{00000000-0009-0000-0000-000003000000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77BA-0348-4714-B6CB-7160132A8637}">
  <sheetPr codeName="Sheet26"/>
  <dimension ref="A1:J54"/>
  <sheetViews>
    <sheetView topLeftCell="A19" zoomScale="85" zoomScaleNormal="85" workbookViewId="0">
      <selection activeCell="E61" sqref="E61"/>
    </sheetView>
  </sheetViews>
  <sheetFormatPr defaultRowHeight="15" x14ac:dyDescent="0.25"/>
  <cols>
    <col min="1" max="1" width="14.7109375" customWidth="1"/>
    <col min="2" max="2" width="18.7109375" customWidth="1"/>
    <col min="3" max="3" width="28.7109375" customWidth="1"/>
    <col min="4" max="5" width="12.7109375" customWidth="1"/>
    <col min="6" max="6" width="2.7109375" customWidth="1"/>
    <col min="7" max="7" width="14.7109375" customWidth="1"/>
    <col min="8" max="8" width="18.7109375" customWidth="1"/>
    <col min="9" max="9" width="28.7109375" customWidth="1"/>
    <col min="10" max="10" width="12.7109375" customWidth="1"/>
  </cols>
  <sheetData>
    <row r="1" spans="1:10" ht="27.95" customHeight="1" x14ac:dyDescent="0.3">
      <c r="A1" s="227" t="s">
        <v>503</v>
      </c>
      <c r="B1" s="228"/>
      <c r="C1" s="228"/>
      <c r="D1" s="228"/>
      <c r="E1" s="228"/>
      <c r="F1" s="228"/>
      <c r="G1" s="228"/>
      <c r="H1" s="228"/>
      <c r="I1" s="228"/>
      <c r="J1" s="228"/>
    </row>
    <row r="2" spans="1:10" ht="20.100000000000001" customHeight="1" x14ac:dyDescent="0.25">
      <c r="A2" s="105" t="s">
        <v>70</v>
      </c>
      <c r="B2" s="105" t="s">
        <v>317</v>
      </c>
      <c r="C2" s="105" t="s">
        <v>305</v>
      </c>
      <c r="D2" s="105" t="s">
        <v>73</v>
      </c>
      <c r="E2" s="105" t="s">
        <v>322</v>
      </c>
      <c r="F2" s="103"/>
      <c r="G2" s="105" t="s">
        <v>70</v>
      </c>
      <c r="H2" s="105" t="s">
        <v>304</v>
      </c>
      <c r="I2" s="105" t="s">
        <v>305</v>
      </c>
      <c r="J2" s="105" t="s">
        <v>73</v>
      </c>
    </row>
    <row r="3" spans="1:10" ht="21.95" customHeight="1" x14ac:dyDescent="0.25">
      <c r="A3" s="114" t="s">
        <v>474</v>
      </c>
      <c r="B3" s="114"/>
      <c r="C3" s="114"/>
      <c r="D3" s="114"/>
      <c r="E3" s="114"/>
      <c r="F3" s="113"/>
      <c r="G3" s="114"/>
      <c r="H3" s="114"/>
      <c r="I3" s="114"/>
      <c r="J3" s="114"/>
    </row>
    <row r="4" spans="1:10" ht="15.95" customHeight="1" x14ac:dyDescent="0.25">
      <c r="A4" s="107">
        <v>46272</v>
      </c>
      <c r="B4" s="106" t="s">
        <v>68</v>
      </c>
      <c r="C4" s="106" t="s">
        <v>318</v>
      </c>
      <c r="D4" s="108">
        <v>34500</v>
      </c>
      <c r="E4" s="101" t="s">
        <v>320</v>
      </c>
      <c r="F4" s="103"/>
      <c r="G4" s="107">
        <v>46268</v>
      </c>
      <c r="H4" s="106" t="s">
        <v>255</v>
      </c>
      <c r="I4" s="106" t="s">
        <v>335</v>
      </c>
      <c r="J4" s="108">
        <v>600</v>
      </c>
    </row>
    <row r="5" spans="1:10" ht="15.95" customHeight="1" x14ac:dyDescent="0.25">
      <c r="A5" s="110">
        <v>46273</v>
      </c>
      <c r="B5" s="109" t="s">
        <v>217</v>
      </c>
      <c r="C5" s="109" t="s">
        <v>319</v>
      </c>
      <c r="D5" s="111">
        <v>25000</v>
      </c>
      <c r="E5" s="101" t="s">
        <v>320</v>
      </c>
      <c r="F5" s="103"/>
      <c r="G5" s="110">
        <v>46272</v>
      </c>
      <c r="H5" s="109" t="s">
        <v>312</v>
      </c>
      <c r="I5" s="109" t="s">
        <v>337</v>
      </c>
      <c r="J5" s="111">
        <v>24350</v>
      </c>
    </row>
    <row r="6" spans="1:10" ht="15.95" customHeight="1" x14ac:dyDescent="0.25">
      <c r="A6" s="106"/>
      <c r="B6" s="106"/>
      <c r="C6" s="106"/>
      <c r="D6" s="106"/>
      <c r="F6" s="103"/>
      <c r="G6" s="107">
        <v>46272</v>
      </c>
      <c r="H6" s="106" t="s">
        <v>310</v>
      </c>
      <c r="I6" s="106" t="s">
        <v>338</v>
      </c>
      <c r="J6" s="108">
        <v>9600</v>
      </c>
    </row>
    <row r="7" spans="1:10" ht="15.95" customHeight="1" x14ac:dyDescent="0.25">
      <c r="A7" s="109"/>
      <c r="B7" s="109"/>
      <c r="C7" s="109"/>
      <c r="D7" s="109"/>
      <c r="F7" s="103"/>
      <c r="G7" s="110">
        <v>46269</v>
      </c>
      <c r="H7" s="109" t="s">
        <v>217</v>
      </c>
      <c r="I7" s="109" t="s">
        <v>339</v>
      </c>
      <c r="J7" s="111">
        <v>1500</v>
      </c>
    </row>
    <row r="8" spans="1:10" ht="15.95" customHeight="1" x14ac:dyDescent="0.25">
      <c r="A8" s="106"/>
      <c r="B8" s="106"/>
      <c r="C8" s="106"/>
      <c r="D8" s="106"/>
      <c r="F8" s="103"/>
      <c r="G8" s="107">
        <v>46270</v>
      </c>
      <c r="H8" s="106" t="s">
        <v>255</v>
      </c>
      <c r="I8" s="106" t="s">
        <v>340</v>
      </c>
      <c r="J8" s="108">
        <v>3000</v>
      </c>
    </row>
    <row r="9" spans="1:10" ht="15.95" customHeight="1" x14ac:dyDescent="0.25">
      <c r="A9" s="109"/>
      <c r="B9" s="109"/>
      <c r="C9" s="109"/>
      <c r="D9" s="109"/>
      <c r="F9" s="103"/>
      <c r="G9" s="110">
        <v>46272</v>
      </c>
      <c r="H9" s="109" t="s">
        <v>341</v>
      </c>
      <c r="I9" s="109" t="s">
        <v>342</v>
      </c>
      <c r="J9" s="111">
        <v>3000</v>
      </c>
    </row>
    <row r="10" spans="1:10" ht="15.95" customHeight="1" x14ac:dyDescent="0.25">
      <c r="A10" s="106"/>
      <c r="B10" s="106"/>
      <c r="C10" s="106"/>
      <c r="D10" s="106"/>
      <c r="F10" s="103"/>
      <c r="G10" s="107">
        <v>46272</v>
      </c>
      <c r="H10" s="106" t="s">
        <v>255</v>
      </c>
      <c r="I10" s="106" t="s">
        <v>343</v>
      </c>
      <c r="J10" s="108">
        <v>1500</v>
      </c>
    </row>
    <row r="11" spans="1:10" ht="15.95" customHeight="1" x14ac:dyDescent="0.25">
      <c r="A11" s="109"/>
      <c r="B11" s="109"/>
      <c r="C11" s="109"/>
      <c r="D11" s="109"/>
      <c r="F11" s="103"/>
      <c r="G11" s="110">
        <v>46274</v>
      </c>
      <c r="H11" s="109" t="s">
        <v>312</v>
      </c>
      <c r="I11" s="109" t="s">
        <v>344</v>
      </c>
      <c r="J11" s="111">
        <v>13450</v>
      </c>
    </row>
    <row r="12" spans="1:10" ht="15.95" customHeight="1" x14ac:dyDescent="0.25">
      <c r="A12" s="106"/>
      <c r="B12" s="106"/>
      <c r="C12" s="106"/>
      <c r="D12" s="106"/>
      <c r="F12" s="103"/>
      <c r="G12" s="107">
        <v>46274</v>
      </c>
      <c r="H12" s="106" t="s">
        <v>217</v>
      </c>
      <c r="I12" s="106" t="s">
        <v>345</v>
      </c>
      <c r="J12" s="108">
        <v>800</v>
      </c>
    </row>
    <row r="13" spans="1:10" ht="15.95" customHeight="1" x14ac:dyDescent="0.25">
      <c r="A13" s="109"/>
      <c r="B13" s="109"/>
      <c r="C13" s="109"/>
      <c r="D13" s="109"/>
      <c r="F13" s="103"/>
      <c r="G13" s="110">
        <v>46275</v>
      </c>
      <c r="H13" s="109" t="s">
        <v>247</v>
      </c>
      <c r="I13" s="109" t="s">
        <v>346</v>
      </c>
      <c r="J13" s="111">
        <v>6000</v>
      </c>
    </row>
    <row r="14" spans="1:10" ht="15.95" customHeight="1" x14ac:dyDescent="0.25">
      <c r="A14" s="106"/>
      <c r="B14" s="106"/>
      <c r="C14" s="106"/>
      <c r="D14" s="106"/>
      <c r="F14" s="103"/>
      <c r="G14" s="107">
        <v>46284</v>
      </c>
      <c r="H14" s="106" t="s">
        <v>341</v>
      </c>
      <c r="I14" s="106" t="s">
        <v>342</v>
      </c>
      <c r="J14" s="108">
        <v>1500</v>
      </c>
    </row>
    <row r="15" spans="1:10" ht="15.95" customHeight="1" x14ac:dyDescent="0.25">
      <c r="A15" s="109"/>
      <c r="B15" s="109"/>
      <c r="C15" s="109"/>
      <c r="D15" s="109"/>
      <c r="F15" s="103"/>
      <c r="G15" s="110">
        <v>46279</v>
      </c>
      <c r="H15" s="109" t="s">
        <v>217</v>
      </c>
      <c r="I15" s="109" t="s">
        <v>348</v>
      </c>
      <c r="J15" s="111">
        <v>2500</v>
      </c>
    </row>
    <row r="16" spans="1:10" ht="15.95" customHeight="1" x14ac:dyDescent="0.25">
      <c r="A16" s="106"/>
      <c r="B16" s="106"/>
      <c r="C16" s="106"/>
      <c r="D16" s="106"/>
      <c r="F16" s="103"/>
      <c r="G16" s="107">
        <v>46279</v>
      </c>
      <c r="H16" s="106" t="s">
        <v>349</v>
      </c>
      <c r="I16" s="106" t="s">
        <v>350</v>
      </c>
      <c r="J16" s="108">
        <v>4500</v>
      </c>
    </row>
    <row r="17" spans="1:10" ht="15.95" customHeight="1" x14ac:dyDescent="0.25">
      <c r="A17" s="109"/>
      <c r="B17" s="109"/>
      <c r="C17" s="109"/>
      <c r="D17" s="109"/>
      <c r="F17" s="103"/>
      <c r="G17" s="110">
        <v>46280</v>
      </c>
      <c r="H17" s="109" t="s">
        <v>97</v>
      </c>
      <c r="I17" s="109" t="s">
        <v>453</v>
      </c>
      <c r="J17" s="111">
        <v>250</v>
      </c>
    </row>
    <row r="18" spans="1:10" ht="15.95" customHeight="1" x14ac:dyDescent="0.25">
      <c r="A18" s="106"/>
      <c r="B18" s="106"/>
      <c r="C18" s="106"/>
      <c r="D18" s="106"/>
      <c r="F18" s="103"/>
      <c r="G18" s="107">
        <v>46280</v>
      </c>
      <c r="H18" s="106" t="s">
        <v>255</v>
      </c>
      <c r="I18" s="106" t="s">
        <v>454</v>
      </c>
      <c r="J18" s="108">
        <v>350</v>
      </c>
    </row>
    <row r="19" spans="1:10" ht="15.95" customHeight="1" x14ac:dyDescent="0.25">
      <c r="A19" s="109"/>
      <c r="B19" s="109"/>
      <c r="C19" s="109"/>
      <c r="D19" s="109"/>
      <c r="F19" s="103"/>
      <c r="G19" s="110">
        <v>46280</v>
      </c>
      <c r="H19" s="109" t="s">
        <v>255</v>
      </c>
      <c r="I19" s="109" t="s">
        <v>455</v>
      </c>
      <c r="J19" s="111">
        <v>500</v>
      </c>
    </row>
    <row r="20" spans="1:10" ht="15.95" customHeight="1" x14ac:dyDescent="0.25">
      <c r="A20" s="106"/>
      <c r="B20" s="106"/>
      <c r="C20" s="106"/>
      <c r="D20" s="106"/>
      <c r="F20" s="103"/>
      <c r="G20" s="107">
        <v>46281</v>
      </c>
      <c r="H20" s="106" t="s">
        <v>456</v>
      </c>
      <c r="I20" s="106" t="s">
        <v>457</v>
      </c>
      <c r="J20" s="108">
        <v>2000</v>
      </c>
    </row>
    <row r="21" spans="1:10" ht="15.95" customHeight="1" x14ac:dyDescent="0.25">
      <c r="A21" s="109"/>
      <c r="B21" s="109"/>
      <c r="C21" s="109"/>
      <c r="D21" s="109"/>
      <c r="F21" s="103"/>
      <c r="G21" s="110">
        <v>46282</v>
      </c>
      <c r="H21" s="109" t="s">
        <v>255</v>
      </c>
      <c r="I21" s="109" t="s">
        <v>131</v>
      </c>
      <c r="J21" s="111">
        <v>400</v>
      </c>
    </row>
    <row r="22" spans="1:10" ht="15.95" customHeight="1" x14ac:dyDescent="0.25">
      <c r="A22" s="106"/>
      <c r="B22" s="106"/>
      <c r="C22" s="106"/>
      <c r="D22" s="106"/>
      <c r="F22" s="103"/>
      <c r="G22" s="107">
        <v>46282</v>
      </c>
      <c r="H22" s="106" t="s">
        <v>458</v>
      </c>
      <c r="I22" s="106" t="s">
        <v>459</v>
      </c>
      <c r="J22" s="108">
        <v>1600</v>
      </c>
    </row>
    <row r="23" spans="1:10" ht="15.95" customHeight="1" x14ac:dyDescent="0.25">
      <c r="A23" s="109"/>
      <c r="B23" s="109"/>
      <c r="C23" s="109"/>
      <c r="D23" s="109"/>
      <c r="F23" s="103"/>
      <c r="G23" s="110">
        <v>46284</v>
      </c>
      <c r="H23" s="109" t="s">
        <v>460</v>
      </c>
      <c r="I23" s="109" t="s">
        <v>177</v>
      </c>
      <c r="J23" s="111">
        <v>20000</v>
      </c>
    </row>
    <row r="24" spans="1:10" ht="15.95" customHeight="1" x14ac:dyDescent="0.25">
      <c r="A24" s="106"/>
      <c r="B24" s="106"/>
      <c r="C24" s="106"/>
      <c r="D24" s="106"/>
      <c r="F24" s="103"/>
      <c r="G24" s="107">
        <v>46284</v>
      </c>
      <c r="H24" s="106" t="s">
        <v>461</v>
      </c>
      <c r="I24" s="106" t="s">
        <v>462</v>
      </c>
      <c r="J24" s="108">
        <v>1000</v>
      </c>
    </row>
    <row r="25" spans="1:10" ht="15.95" customHeight="1" x14ac:dyDescent="0.25">
      <c r="A25" s="109"/>
      <c r="B25" s="109"/>
      <c r="C25" s="109"/>
      <c r="D25" s="109"/>
      <c r="F25" s="103"/>
      <c r="G25" s="110">
        <v>46285</v>
      </c>
      <c r="H25" s="109" t="s">
        <v>463</v>
      </c>
      <c r="I25" s="109" t="s">
        <v>464</v>
      </c>
      <c r="J25" s="111">
        <v>1000</v>
      </c>
    </row>
    <row r="26" spans="1:10" ht="15.95" customHeight="1" x14ac:dyDescent="0.25">
      <c r="A26" s="106"/>
      <c r="B26" s="106"/>
      <c r="C26" s="106"/>
      <c r="D26" s="106"/>
      <c r="F26" s="103"/>
      <c r="G26" s="107">
        <v>46286</v>
      </c>
      <c r="H26" s="106" t="s">
        <v>255</v>
      </c>
      <c r="I26" s="106" t="s">
        <v>131</v>
      </c>
      <c r="J26" s="108">
        <v>2300</v>
      </c>
    </row>
    <row r="27" spans="1:10" ht="15.95" customHeight="1" x14ac:dyDescent="0.25">
      <c r="A27" s="109"/>
      <c r="B27" s="109"/>
      <c r="C27" s="109"/>
      <c r="D27" s="109"/>
      <c r="F27" s="103"/>
      <c r="G27" s="110">
        <v>46287</v>
      </c>
      <c r="H27" s="109" t="s">
        <v>465</v>
      </c>
      <c r="I27" s="109" t="s">
        <v>466</v>
      </c>
      <c r="J27" s="111">
        <v>3600</v>
      </c>
    </row>
    <row r="28" spans="1:10" ht="15.95" customHeight="1" x14ac:dyDescent="0.25">
      <c r="A28" s="106"/>
      <c r="B28" s="106"/>
      <c r="C28" s="106"/>
      <c r="D28" s="106"/>
      <c r="F28" s="103"/>
      <c r="G28" s="107">
        <v>46287</v>
      </c>
      <c r="H28" s="106" t="s">
        <v>467</v>
      </c>
      <c r="I28" s="106" t="s">
        <v>466</v>
      </c>
      <c r="J28" s="108">
        <v>300</v>
      </c>
    </row>
    <row r="29" spans="1:10" ht="15.95" customHeight="1" x14ac:dyDescent="0.25">
      <c r="A29" s="109"/>
      <c r="B29" s="109"/>
      <c r="C29" s="109"/>
      <c r="D29" s="109"/>
      <c r="F29" s="103"/>
      <c r="G29" s="110">
        <v>46290</v>
      </c>
      <c r="H29" s="109" t="s">
        <v>469</v>
      </c>
      <c r="I29" s="109" t="s">
        <v>470</v>
      </c>
      <c r="J29" s="111">
        <v>500</v>
      </c>
    </row>
    <row r="30" spans="1:10" ht="15.95" customHeight="1" x14ac:dyDescent="0.25">
      <c r="A30" s="106"/>
      <c r="B30" s="106"/>
      <c r="C30" s="106"/>
      <c r="D30" s="106"/>
      <c r="F30" s="103"/>
      <c r="G30" s="107">
        <v>46292</v>
      </c>
      <c r="H30" s="106" t="s">
        <v>255</v>
      </c>
      <c r="I30" s="106" t="s">
        <v>471</v>
      </c>
      <c r="J30" s="108">
        <v>8500</v>
      </c>
    </row>
    <row r="31" spans="1:10" ht="15.95" customHeight="1" x14ac:dyDescent="0.25">
      <c r="A31" s="109"/>
      <c r="B31" s="109"/>
      <c r="C31" s="109"/>
      <c r="D31" s="109"/>
      <c r="F31" s="103"/>
      <c r="G31" s="110">
        <v>46295</v>
      </c>
      <c r="H31" s="109" t="s">
        <v>255</v>
      </c>
      <c r="I31" s="109" t="s">
        <v>472</v>
      </c>
      <c r="J31" s="111">
        <v>3300</v>
      </c>
    </row>
    <row r="32" spans="1:10" ht="15.95" customHeight="1" x14ac:dyDescent="0.25">
      <c r="A32" s="106"/>
      <c r="B32" s="106"/>
      <c r="C32" s="106"/>
      <c r="D32" s="106"/>
      <c r="F32" s="103"/>
      <c r="G32" s="107">
        <v>46295</v>
      </c>
      <c r="H32" s="106" t="s">
        <v>217</v>
      </c>
      <c r="I32" s="106" t="s">
        <v>339</v>
      </c>
      <c r="J32" s="108">
        <v>1000</v>
      </c>
    </row>
    <row r="33" spans="1:10" ht="20.100000000000001" customHeight="1" x14ac:dyDescent="0.25">
      <c r="A33" s="97" t="s">
        <v>228</v>
      </c>
      <c r="B33" s="97"/>
      <c r="C33" s="97"/>
      <c r="D33" s="112">
        <f>SUM(D4:D32)</f>
        <v>59500</v>
      </c>
      <c r="E33" s="97"/>
      <c r="F33" s="113"/>
      <c r="G33" s="97" t="s">
        <v>228</v>
      </c>
      <c r="H33" s="97"/>
      <c r="I33" s="97"/>
      <c r="J33" s="112">
        <f>SUM(J4:J32)</f>
        <v>118900</v>
      </c>
    </row>
    <row r="35" spans="1:10" x14ac:dyDescent="0.25">
      <c r="A35" s="117" t="s">
        <v>504</v>
      </c>
      <c r="B35" s="117"/>
      <c r="C35" s="117"/>
      <c r="D35" s="117"/>
      <c r="E35" s="117"/>
      <c r="F35" s="117"/>
      <c r="G35" s="117"/>
      <c r="H35" s="117"/>
      <c r="I35" s="117"/>
      <c r="J35" s="117"/>
    </row>
    <row r="36" spans="1:10" ht="15.95" customHeight="1" x14ac:dyDescent="0.25">
      <c r="A36" s="116">
        <v>46299</v>
      </c>
      <c r="B36" s="106" t="s">
        <v>505</v>
      </c>
      <c r="C36" s="106"/>
      <c r="D36" s="106">
        <v>900</v>
      </c>
      <c r="E36" t="s">
        <v>320</v>
      </c>
      <c r="F36" s="103"/>
      <c r="G36" s="107">
        <v>46299</v>
      </c>
      <c r="H36" s="106" t="s">
        <v>477</v>
      </c>
      <c r="I36" s="106" t="s">
        <v>478</v>
      </c>
      <c r="J36" s="108">
        <v>5000</v>
      </c>
    </row>
    <row r="37" spans="1:10" ht="15.95" customHeight="1" x14ac:dyDescent="0.25">
      <c r="A37" s="109"/>
      <c r="B37" s="109"/>
      <c r="C37" s="109"/>
      <c r="D37" s="109"/>
      <c r="F37" s="103"/>
      <c r="G37" s="110">
        <v>46300</v>
      </c>
      <c r="H37" s="109" t="s">
        <v>97</v>
      </c>
      <c r="I37" s="109" t="s">
        <v>479</v>
      </c>
      <c r="J37" s="111">
        <v>350</v>
      </c>
    </row>
    <row r="38" spans="1:10" ht="15.95" customHeight="1" x14ac:dyDescent="0.25">
      <c r="A38" s="106"/>
      <c r="B38" s="106"/>
      <c r="C38" s="106"/>
      <c r="D38" s="106"/>
      <c r="F38" s="103"/>
      <c r="G38" s="107">
        <v>46301</v>
      </c>
      <c r="H38" s="106" t="s">
        <v>255</v>
      </c>
      <c r="I38" s="106" t="s">
        <v>480</v>
      </c>
      <c r="J38" s="108">
        <v>2100</v>
      </c>
    </row>
    <row r="39" spans="1:10" ht="15.95" customHeight="1" x14ac:dyDescent="0.25">
      <c r="A39" s="109"/>
      <c r="B39" s="109"/>
      <c r="C39" s="109"/>
      <c r="D39" s="109"/>
      <c r="F39" s="103"/>
      <c r="G39" s="110">
        <v>46304</v>
      </c>
      <c r="H39" s="109" t="s">
        <v>481</v>
      </c>
      <c r="I39" s="109" t="s">
        <v>482</v>
      </c>
      <c r="J39" s="111">
        <v>10000</v>
      </c>
    </row>
    <row r="40" spans="1:10" ht="15.95" customHeight="1" x14ac:dyDescent="0.25">
      <c r="A40" s="106"/>
      <c r="B40" s="106"/>
      <c r="C40" s="106"/>
      <c r="D40" s="106"/>
      <c r="F40" s="103"/>
      <c r="G40" s="107">
        <v>46305</v>
      </c>
      <c r="H40" s="106" t="s">
        <v>481</v>
      </c>
      <c r="I40" s="106" t="s">
        <v>482</v>
      </c>
      <c r="J40" s="108">
        <v>10000</v>
      </c>
    </row>
    <row r="41" spans="1:10" ht="15.95" customHeight="1" x14ac:dyDescent="0.25">
      <c r="A41" s="109"/>
      <c r="B41" s="109"/>
      <c r="C41" s="109"/>
      <c r="D41" s="109"/>
      <c r="F41" s="103"/>
      <c r="G41" s="110">
        <v>46303</v>
      </c>
      <c r="H41" s="109" t="s">
        <v>483</v>
      </c>
      <c r="I41" s="109" t="s">
        <v>484</v>
      </c>
      <c r="J41" s="111">
        <v>5000</v>
      </c>
    </row>
    <row r="42" spans="1:10" ht="15.95" customHeight="1" x14ac:dyDescent="0.25">
      <c r="A42" s="106"/>
      <c r="B42" s="106"/>
      <c r="C42" s="106"/>
      <c r="D42" s="106"/>
      <c r="F42" s="103"/>
      <c r="G42" s="107">
        <v>46303</v>
      </c>
      <c r="H42" s="106" t="s">
        <v>485</v>
      </c>
      <c r="I42" s="106" t="s">
        <v>502</v>
      </c>
      <c r="J42" s="108">
        <v>5000</v>
      </c>
    </row>
    <row r="43" spans="1:10" ht="15.95" customHeight="1" x14ac:dyDescent="0.25">
      <c r="A43" s="109"/>
      <c r="B43" s="109"/>
      <c r="C43" s="109"/>
      <c r="D43" s="109"/>
      <c r="F43" s="103"/>
      <c r="G43" s="110">
        <v>46305</v>
      </c>
      <c r="H43" s="109" t="s">
        <v>217</v>
      </c>
      <c r="I43" s="109" t="s">
        <v>487</v>
      </c>
      <c r="J43" s="111">
        <v>5000</v>
      </c>
    </row>
    <row r="44" spans="1:10" ht="15.95" customHeight="1" x14ac:dyDescent="0.25">
      <c r="A44" s="106"/>
      <c r="B44" s="106"/>
      <c r="C44" s="106"/>
      <c r="D44" s="106"/>
      <c r="F44" s="103"/>
      <c r="G44" s="107">
        <v>46306</v>
      </c>
      <c r="H44" s="106" t="s">
        <v>310</v>
      </c>
      <c r="I44" s="106" t="s">
        <v>488</v>
      </c>
      <c r="J44" s="108">
        <v>6000</v>
      </c>
    </row>
    <row r="45" spans="1:10" ht="15.95" customHeight="1" x14ac:dyDescent="0.25">
      <c r="A45" s="109"/>
      <c r="B45" s="109"/>
      <c r="C45" s="109"/>
      <c r="D45" s="109"/>
      <c r="F45" s="103"/>
      <c r="G45" s="110">
        <v>46310</v>
      </c>
      <c r="H45" s="109" t="s">
        <v>113</v>
      </c>
      <c r="I45" s="109" t="s">
        <v>488</v>
      </c>
      <c r="J45" s="111">
        <v>26000</v>
      </c>
    </row>
    <row r="46" spans="1:10" ht="15.95" customHeight="1" x14ac:dyDescent="0.25">
      <c r="A46" s="106"/>
      <c r="B46" s="106"/>
      <c r="C46" s="106"/>
      <c r="D46" s="106"/>
      <c r="F46" s="103"/>
      <c r="G46" s="107">
        <v>46310</v>
      </c>
      <c r="H46" s="106" t="s">
        <v>489</v>
      </c>
      <c r="I46" s="106" t="s">
        <v>490</v>
      </c>
      <c r="J46" s="108">
        <v>5000</v>
      </c>
    </row>
    <row r="47" spans="1:10" ht="15.95" customHeight="1" x14ac:dyDescent="0.25">
      <c r="A47" s="109"/>
      <c r="B47" s="109"/>
      <c r="C47" s="109"/>
      <c r="D47" s="109"/>
      <c r="F47" s="103"/>
      <c r="G47" s="110">
        <v>46316</v>
      </c>
      <c r="H47" s="109" t="s">
        <v>491</v>
      </c>
      <c r="I47" s="109" t="s">
        <v>492</v>
      </c>
      <c r="J47" s="111">
        <v>600</v>
      </c>
    </row>
    <row r="48" spans="1:10" ht="15.95" customHeight="1" x14ac:dyDescent="0.25">
      <c r="A48" s="106"/>
      <c r="B48" s="106"/>
      <c r="C48" s="106"/>
      <c r="D48" s="106"/>
      <c r="F48" s="103"/>
      <c r="G48" s="107">
        <v>46318</v>
      </c>
      <c r="H48" s="106" t="s">
        <v>493</v>
      </c>
      <c r="I48" s="106" t="s">
        <v>260</v>
      </c>
      <c r="J48" s="108">
        <v>8000</v>
      </c>
    </row>
    <row r="49" spans="1:10" ht="15.95" customHeight="1" x14ac:dyDescent="0.25">
      <c r="A49" s="109"/>
      <c r="B49" s="109"/>
      <c r="C49" s="109"/>
      <c r="D49" s="109"/>
      <c r="F49" s="103"/>
      <c r="G49" s="110">
        <v>46310</v>
      </c>
      <c r="H49" s="109" t="s">
        <v>103</v>
      </c>
      <c r="I49" s="109" t="s">
        <v>494</v>
      </c>
      <c r="J49" s="111">
        <v>300</v>
      </c>
    </row>
    <row r="50" spans="1:10" ht="15.95" customHeight="1" x14ac:dyDescent="0.25">
      <c r="A50" s="106"/>
      <c r="B50" s="106"/>
      <c r="C50" s="106"/>
      <c r="D50" s="106"/>
      <c r="F50" s="103"/>
      <c r="G50" s="107">
        <v>46307</v>
      </c>
      <c r="H50" s="106" t="s">
        <v>103</v>
      </c>
      <c r="I50" s="106" t="s">
        <v>496</v>
      </c>
      <c r="J50" s="108">
        <v>400</v>
      </c>
    </row>
    <row r="51" spans="1:10" ht="15.95" customHeight="1" x14ac:dyDescent="0.25">
      <c r="A51" s="109"/>
      <c r="B51" s="109"/>
      <c r="C51" s="109"/>
      <c r="D51" s="109"/>
      <c r="F51" s="103"/>
      <c r="G51" s="110">
        <v>46301</v>
      </c>
      <c r="H51" s="109" t="s">
        <v>217</v>
      </c>
      <c r="I51" s="109" t="s">
        <v>497</v>
      </c>
      <c r="J51" s="111">
        <v>600</v>
      </c>
    </row>
    <row r="52" spans="1:10" ht="15.95" customHeight="1" x14ac:dyDescent="0.25">
      <c r="A52" s="106"/>
      <c r="B52" s="106"/>
      <c r="C52" s="106"/>
      <c r="D52" s="106"/>
      <c r="F52" s="103"/>
      <c r="G52" s="107">
        <v>46303</v>
      </c>
      <c r="H52" s="106" t="s">
        <v>217</v>
      </c>
      <c r="I52" s="106" t="s">
        <v>498</v>
      </c>
      <c r="J52" s="108">
        <v>4000</v>
      </c>
    </row>
    <row r="53" spans="1:10" ht="15.95" customHeight="1" x14ac:dyDescent="0.25">
      <c r="A53" s="109"/>
      <c r="B53" s="109"/>
      <c r="C53" s="109"/>
      <c r="D53" s="109"/>
      <c r="F53" s="103"/>
      <c r="G53" s="110">
        <v>46307</v>
      </c>
      <c r="H53" s="109" t="s">
        <v>499</v>
      </c>
      <c r="I53" s="109" t="s">
        <v>500</v>
      </c>
      <c r="J53" s="111">
        <v>4000</v>
      </c>
    </row>
    <row r="54" spans="1:10" ht="20.100000000000001" customHeight="1" x14ac:dyDescent="0.25">
      <c r="A54" s="97" t="s">
        <v>228</v>
      </c>
      <c r="B54" s="97"/>
      <c r="C54" s="97"/>
      <c r="D54" s="112">
        <f>SUM(D36:D53)</f>
        <v>900</v>
      </c>
      <c r="E54" s="97"/>
      <c r="F54" s="113"/>
      <c r="G54" s="97" t="s">
        <v>228</v>
      </c>
      <c r="H54" s="97"/>
      <c r="I54" s="97"/>
      <c r="J54" s="112">
        <f>SUM(J36:J53)</f>
        <v>97350</v>
      </c>
    </row>
  </sheetData>
  <mergeCells count="1">
    <mergeCell ref="A1:J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8"/>
  <dimension ref="A1:G92"/>
  <sheetViews>
    <sheetView showGridLines="0" zoomScale="115" zoomScaleNormal="115" workbookViewId="0">
      <selection activeCell="D1" sqref="D1"/>
    </sheetView>
  </sheetViews>
  <sheetFormatPr defaultColWidth="8.85546875" defaultRowHeight="15" x14ac:dyDescent="0.25"/>
  <cols>
    <col min="1" max="2" width="20.42578125" customWidth="1"/>
    <col min="3" max="7" width="15.42578125" customWidth="1"/>
    <col min="8" max="8" width="12.42578125" customWidth="1"/>
  </cols>
  <sheetData>
    <row r="1" spans="1:7" ht="30" customHeight="1" x14ac:dyDescent="0.25">
      <c r="B1" s="7" t="s">
        <v>215</v>
      </c>
      <c r="C1" s="12">
        <v>46314</v>
      </c>
    </row>
    <row r="2" spans="1:7" ht="30" customHeight="1" x14ac:dyDescent="0.25"/>
    <row r="3" spans="1:7" x14ac:dyDescent="0.25">
      <c r="A3" t="s">
        <v>207</v>
      </c>
      <c r="B3" t="s">
        <v>208</v>
      </c>
      <c r="C3" t="s">
        <v>209</v>
      </c>
      <c r="D3" t="s">
        <v>210</v>
      </c>
      <c r="E3" t="s">
        <v>129</v>
      </c>
      <c r="F3" t="s">
        <v>130</v>
      </c>
      <c r="G3" t="s">
        <v>203</v>
      </c>
    </row>
    <row r="4" spans="1:7" x14ac:dyDescent="0.25">
      <c r="A4" t="s">
        <v>132</v>
      </c>
      <c r="B4" t="s">
        <v>135</v>
      </c>
    </row>
    <row r="5" spans="1:7" x14ac:dyDescent="0.25">
      <c r="B5" t="s">
        <v>133</v>
      </c>
    </row>
    <row r="6" spans="1:7" x14ac:dyDescent="0.25">
      <c r="B6" t="s">
        <v>136</v>
      </c>
    </row>
    <row r="7" spans="1:7" x14ac:dyDescent="0.25">
      <c r="B7" t="s">
        <v>134</v>
      </c>
    </row>
    <row r="8" spans="1:7" x14ac:dyDescent="0.25">
      <c r="A8" t="s">
        <v>303</v>
      </c>
      <c r="B8" t="s">
        <v>275</v>
      </c>
      <c r="G8">
        <v>1300</v>
      </c>
    </row>
    <row r="9" spans="1:7" x14ac:dyDescent="0.25">
      <c r="B9" t="s">
        <v>276</v>
      </c>
    </row>
    <row r="10" spans="1:7" x14ac:dyDescent="0.25">
      <c r="B10" t="s">
        <v>277</v>
      </c>
    </row>
    <row r="11" spans="1:7" x14ac:dyDescent="0.25">
      <c r="B11" t="s">
        <v>143</v>
      </c>
    </row>
    <row r="12" spans="1:7" x14ac:dyDescent="0.25">
      <c r="B12" t="s">
        <v>145</v>
      </c>
    </row>
    <row r="13" spans="1:7" x14ac:dyDescent="0.25">
      <c r="B13" t="s">
        <v>139</v>
      </c>
    </row>
    <row r="14" spans="1:7" x14ac:dyDescent="0.25">
      <c r="B14" t="s">
        <v>278</v>
      </c>
    </row>
    <row r="15" spans="1:7" x14ac:dyDescent="0.25">
      <c r="B15" t="s">
        <v>144</v>
      </c>
    </row>
    <row r="16" spans="1:7" x14ac:dyDescent="0.25">
      <c r="B16" t="s">
        <v>279</v>
      </c>
    </row>
    <row r="17" spans="1:7" x14ac:dyDescent="0.25">
      <c r="B17" t="s">
        <v>280</v>
      </c>
    </row>
    <row r="18" spans="1:7" x14ac:dyDescent="0.25">
      <c r="B18" t="s">
        <v>140</v>
      </c>
    </row>
    <row r="19" spans="1:7" x14ac:dyDescent="0.25">
      <c r="B19" t="s">
        <v>142</v>
      </c>
    </row>
    <row r="20" spans="1:7" x14ac:dyDescent="0.25">
      <c r="B20" t="s">
        <v>138</v>
      </c>
    </row>
    <row r="21" spans="1:7" x14ac:dyDescent="0.25">
      <c r="B21" t="s">
        <v>141</v>
      </c>
    </row>
    <row r="22" spans="1:7" x14ac:dyDescent="0.25">
      <c r="B22" t="s">
        <v>281</v>
      </c>
    </row>
    <row r="23" spans="1:7" x14ac:dyDescent="0.25">
      <c r="B23" t="s">
        <v>282</v>
      </c>
    </row>
    <row r="24" spans="1:7" x14ac:dyDescent="0.25">
      <c r="B24" t="s">
        <v>274</v>
      </c>
    </row>
    <row r="25" spans="1:7" x14ac:dyDescent="0.25">
      <c r="B25" t="s">
        <v>283</v>
      </c>
    </row>
    <row r="26" spans="1:7" x14ac:dyDescent="0.25">
      <c r="B26" t="s">
        <v>284</v>
      </c>
    </row>
    <row r="27" spans="1:7" x14ac:dyDescent="0.25">
      <c r="A27" t="s">
        <v>146</v>
      </c>
      <c r="B27" t="s">
        <v>211</v>
      </c>
    </row>
    <row r="28" spans="1:7" x14ac:dyDescent="0.25">
      <c r="B28" t="s">
        <v>147</v>
      </c>
      <c r="C28">
        <v>2.5</v>
      </c>
      <c r="E28">
        <v>450</v>
      </c>
      <c r="G28">
        <v>1125</v>
      </c>
    </row>
    <row r="29" spans="1:7" x14ac:dyDescent="0.25">
      <c r="B29" t="s">
        <v>214</v>
      </c>
    </row>
    <row r="30" spans="1:7" x14ac:dyDescent="0.25">
      <c r="B30" t="s">
        <v>213</v>
      </c>
    </row>
    <row r="31" spans="1:7" x14ac:dyDescent="0.25">
      <c r="B31" t="s">
        <v>151</v>
      </c>
    </row>
    <row r="32" spans="1:7" x14ac:dyDescent="0.25">
      <c r="B32" t="s">
        <v>150</v>
      </c>
    </row>
    <row r="33" spans="1:2" x14ac:dyDescent="0.25">
      <c r="B33" t="s">
        <v>149</v>
      </c>
    </row>
    <row r="34" spans="1:2" x14ac:dyDescent="0.25">
      <c r="A34" t="s">
        <v>152</v>
      </c>
      <c r="B34" t="s">
        <v>131</v>
      </c>
    </row>
    <row r="35" spans="1:2" x14ac:dyDescent="0.25">
      <c r="B35" t="s">
        <v>153</v>
      </c>
    </row>
    <row r="36" spans="1:2" x14ac:dyDescent="0.25">
      <c r="B36" t="s">
        <v>156</v>
      </c>
    </row>
    <row r="37" spans="1:2" x14ac:dyDescent="0.25">
      <c r="B37" t="s">
        <v>155</v>
      </c>
    </row>
    <row r="38" spans="1:2" x14ac:dyDescent="0.25">
      <c r="B38" t="s">
        <v>285</v>
      </c>
    </row>
    <row r="39" spans="1:2" x14ac:dyDescent="0.25">
      <c r="B39" t="s">
        <v>154</v>
      </c>
    </row>
    <row r="40" spans="1:2" x14ac:dyDescent="0.25">
      <c r="A40" t="s">
        <v>157</v>
      </c>
      <c r="B40" t="s">
        <v>161</v>
      </c>
    </row>
    <row r="41" spans="1:2" x14ac:dyDescent="0.25">
      <c r="B41" t="s">
        <v>212</v>
      </c>
    </row>
    <row r="42" spans="1:2" x14ac:dyDescent="0.25">
      <c r="B42" t="s">
        <v>162</v>
      </c>
    </row>
    <row r="43" spans="1:2" x14ac:dyDescent="0.25">
      <c r="B43" t="s">
        <v>159</v>
      </c>
    </row>
    <row r="44" spans="1:2" x14ac:dyDescent="0.25">
      <c r="B44" t="s">
        <v>160</v>
      </c>
    </row>
    <row r="45" spans="1:2" x14ac:dyDescent="0.25">
      <c r="A45" t="s">
        <v>163</v>
      </c>
      <c r="B45" t="s">
        <v>286</v>
      </c>
    </row>
    <row r="46" spans="1:2" x14ac:dyDescent="0.25">
      <c r="B46" t="s">
        <v>164</v>
      </c>
    </row>
    <row r="47" spans="1:2" x14ac:dyDescent="0.25">
      <c r="B47" t="s">
        <v>287</v>
      </c>
    </row>
    <row r="48" spans="1:2" x14ac:dyDescent="0.25">
      <c r="B48" t="s">
        <v>166</v>
      </c>
    </row>
    <row r="49" spans="1:7" x14ac:dyDescent="0.25">
      <c r="B49" t="s">
        <v>167</v>
      </c>
    </row>
    <row r="50" spans="1:7" x14ac:dyDescent="0.25">
      <c r="B50" t="s">
        <v>288</v>
      </c>
    </row>
    <row r="51" spans="1:7" x14ac:dyDescent="0.25">
      <c r="B51" t="s">
        <v>168</v>
      </c>
    </row>
    <row r="52" spans="1:7" x14ac:dyDescent="0.25">
      <c r="B52" t="s">
        <v>169</v>
      </c>
    </row>
    <row r="53" spans="1:7" x14ac:dyDescent="0.25">
      <c r="B53" t="s">
        <v>165</v>
      </c>
    </row>
    <row r="54" spans="1:7" x14ac:dyDescent="0.25">
      <c r="A54" t="s">
        <v>170</v>
      </c>
      <c r="B54" t="s">
        <v>188</v>
      </c>
    </row>
    <row r="55" spans="1:7" x14ac:dyDescent="0.25">
      <c r="B55" t="s">
        <v>192</v>
      </c>
    </row>
    <row r="56" spans="1:7" x14ac:dyDescent="0.25">
      <c r="A56" s="9"/>
      <c r="B56" s="10" t="s">
        <v>308</v>
      </c>
      <c r="C56" s="10"/>
      <c r="D56" s="10"/>
      <c r="E56" s="10"/>
      <c r="F56" s="10"/>
      <c r="G56" s="11"/>
    </row>
    <row r="57" spans="1:7" x14ac:dyDescent="0.25">
      <c r="A57" s="9"/>
      <c r="B57" s="10" t="s">
        <v>289</v>
      </c>
      <c r="C57" s="10"/>
      <c r="D57" s="10"/>
      <c r="E57" s="10"/>
      <c r="F57" s="10"/>
      <c r="G57" s="11"/>
    </row>
    <row r="58" spans="1:7" x14ac:dyDescent="0.25">
      <c r="A58" s="9"/>
      <c r="B58" s="10" t="s">
        <v>190</v>
      </c>
      <c r="C58" s="10"/>
      <c r="D58" s="10"/>
      <c r="E58" s="10"/>
      <c r="F58" s="10"/>
      <c r="G58" s="11"/>
    </row>
    <row r="59" spans="1:7" x14ac:dyDescent="0.25">
      <c r="B59" s="10" t="s">
        <v>290</v>
      </c>
      <c r="C59" s="10"/>
      <c r="D59" s="10"/>
      <c r="E59" s="10"/>
      <c r="F59" s="10"/>
      <c r="G59" s="11"/>
    </row>
    <row r="60" spans="1:7" x14ac:dyDescent="0.25">
      <c r="B60" s="10" t="s">
        <v>291</v>
      </c>
      <c r="C60" s="10"/>
      <c r="D60" s="10"/>
      <c r="E60" s="10"/>
      <c r="F60" s="10"/>
      <c r="G60" s="11"/>
    </row>
    <row r="61" spans="1:7" x14ac:dyDescent="0.25">
      <c r="B61" s="10" t="s">
        <v>292</v>
      </c>
      <c r="C61" s="10"/>
      <c r="D61" s="10"/>
      <c r="E61" s="10"/>
      <c r="F61" s="10"/>
      <c r="G61" s="11"/>
    </row>
    <row r="62" spans="1:7" x14ac:dyDescent="0.25">
      <c r="B62" s="10" t="s">
        <v>293</v>
      </c>
      <c r="C62" s="10"/>
      <c r="D62" s="10"/>
      <c r="E62" s="10"/>
      <c r="F62" s="10"/>
      <c r="G62" s="11"/>
    </row>
    <row r="63" spans="1:7" x14ac:dyDescent="0.25">
      <c r="B63" s="10" t="s">
        <v>189</v>
      </c>
      <c r="C63" s="10"/>
      <c r="D63" s="10"/>
      <c r="E63" s="10"/>
      <c r="F63" s="10"/>
      <c r="G63" s="11"/>
    </row>
    <row r="64" spans="1:7" x14ac:dyDescent="0.25">
      <c r="B64" s="13" t="s">
        <v>294</v>
      </c>
      <c r="C64" s="13"/>
      <c r="D64" s="13"/>
      <c r="E64" s="13"/>
      <c r="F64" s="13"/>
      <c r="G64" s="13"/>
    </row>
    <row r="65" spans="1:7" x14ac:dyDescent="0.25">
      <c r="A65" t="s">
        <v>172</v>
      </c>
      <c r="B65" s="13" t="s">
        <v>174</v>
      </c>
      <c r="C65" s="13"/>
      <c r="D65" s="13"/>
      <c r="E65" s="13"/>
      <c r="F65" s="13"/>
      <c r="G65" s="13"/>
    </row>
    <row r="66" spans="1:7" x14ac:dyDescent="0.25">
      <c r="B66" s="13" t="s">
        <v>173</v>
      </c>
      <c r="C66" s="13"/>
      <c r="D66" s="13"/>
      <c r="E66" s="13"/>
      <c r="F66" s="13"/>
      <c r="G66" s="13"/>
    </row>
    <row r="67" spans="1:7" x14ac:dyDescent="0.25">
      <c r="A67" t="s">
        <v>175</v>
      </c>
      <c r="B67" s="13" t="s">
        <v>178</v>
      </c>
      <c r="C67" s="13"/>
      <c r="D67" s="13"/>
      <c r="E67" s="13"/>
      <c r="F67" s="13"/>
      <c r="G67" s="13"/>
    </row>
    <row r="68" spans="1:7" x14ac:dyDescent="0.25">
      <c r="B68" s="13" t="s">
        <v>176</v>
      </c>
      <c r="C68" s="13"/>
      <c r="D68" s="13"/>
      <c r="E68" s="13"/>
      <c r="F68" s="13"/>
      <c r="G68" s="13"/>
    </row>
    <row r="69" spans="1:7" x14ac:dyDescent="0.25">
      <c r="B69" s="13" t="s">
        <v>179</v>
      </c>
      <c r="C69" s="13"/>
      <c r="D69" s="13"/>
      <c r="E69" s="13"/>
      <c r="F69" s="13"/>
      <c r="G69" s="13"/>
    </row>
    <row r="70" spans="1:7" x14ac:dyDescent="0.25">
      <c r="B70" s="13" t="s">
        <v>177</v>
      </c>
      <c r="C70" s="13"/>
      <c r="D70" s="13"/>
      <c r="E70" s="13"/>
      <c r="F70" s="13"/>
      <c r="G70" s="13"/>
    </row>
    <row r="71" spans="1:7" x14ac:dyDescent="0.25">
      <c r="A71" t="s">
        <v>194</v>
      </c>
      <c r="B71" s="13" t="s">
        <v>196</v>
      </c>
      <c r="C71" s="13"/>
      <c r="D71" s="13"/>
      <c r="E71" s="13"/>
      <c r="F71" s="13"/>
      <c r="G71" s="13"/>
    </row>
    <row r="72" spans="1:7" x14ac:dyDescent="0.25">
      <c r="B72" s="13" t="s">
        <v>295</v>
      </c>
      <c r="C72" s="13"/>
      <c r="D72" s="13"/>
      <c r="E72" s="13"/>
      <c r="F72" s="13"/>
      <c r="G72" s="13"/>
    </row>
    <row r="73" spans="1:7" x14ac:dyDescent="0.25">
      <c r="B73" s="13" t="s">
        <v>297</v>
      </c>
      <c r="C73" s="13"/>
      <c r="D73" s="13"/>
      <c r="E73" s="13"/>
      <c r="F73" s="13"/>
      <c r="G73" s="13"/>
    </row>
    <row r="74" spans="1:7" x14ac:dyDescent="0.25">
      <c r="B74" s="13" t="s">
        <v>298</v>
      </c>
      <c r="C74" s="13"/>
      <c r="D74" s="13"/>
      <c r="E74" s="13"/>
      <c r="F74" s="13"/>
      <c r="G74" s="13"/>
    </row>
    <row r="75" spans="1:7" x14ac:dyDescent="0.25">
      <c r="B75" s="13" t="s">
        <v>195</v>
      </c>
      <c r="C75" s="13"/>
      <c r="D75" s="13"/>
      <c r="E75" s="13"/>
      <c r="F75" s="13"/>
      <c r="G75" s="13"/>
    </row>
    <row r="76" spans="1:7" x14ac:dyDescent="0.25">
      <c r="B76" s="13" t="s">
        <v>299</v>
      </c>
      <c r="C76" s="13"/>
      <c r="D76" s="13"/>
      <c r="E76" s="13"/>
      <c r="F76" s="13"/>
      <c r="G76" s="13"/>
    </row>
    <row r="77" spans="1:7" x14ac:dyDescent="0.25">
      <c r="B77" s="13" t="s">
        <v>300</v>
      </c>
      <c r="C77" s="13"/>
      <c r="D77" s="13"/>
      <c r="E77" s="13"/>
      <c r="F77" s="13"/>
      <c r="G77" s="13"/>
    </row>
    <row r="78" spans="1:7" x14ac:dyDescent="0.25">
      <c r="B78" s="13" t="s">
        <v>197</v>
      </c>
      <c r="C78" s="13"/>
      <c r="D78" s="13"/>
      <c r="E78" s="13"/>
      <c r="F78" s="13"/>
      <c r="G78" s="13"/>
    </row>
    <row r="79" spans="1:7" x14ac:dyDescent="0.25">
      <c r="B79" s="13" t="s">
        <v>296</v>
      </c>
      <c r="C79" s="13"/>
      <c r="D79" s="13"/>
      <c r="E79" s="13"/>
      <c r="F79" s="13"/>
      <c r="G79" s="13"/>
    </row>
    <row r="80" spans="1:7" x14ac:dyDescent="0.25">
      <c r="B80" s="13" t="s">
        <v>301</v>
      </c>
      <c r="C80" s="13"/>
      <c r="D80" s="13"/>
      <c r="E80" s="13"/>
      <c r="F80" s="13"/>
      <c r="G80" s="13"/>
    </row>
    <row r="81" spans="1:7" x14ac:dyDescent="0.25">
      <c r="B81" s="13" t="s">
        <v>302</v>
      </c>
      <c r="C81" s="13"/>
      <c r="D81" s="13"/>
      <c r="E81" s="13"/>
      <c r="F81" s="13"/>
      <c r="G81" s="13"/>
    </row>
    <row r="82" spans="1:7" x14ac:dyDescent="0.25">
      <c r="A82" t="s">
        <v>199</v>
      </c>
      <c r="B82" s="13" t="s">
        <v>234</v>
      </c>
      <c r="C82" s="13"/>
      <c r="D82" s="13"/>
      <c r="E82" s="13"/>
      <c r="F82" s="13"/>
      <c r="G82" s="13"/>
    </row>
    <row r="83" spans="1:7" x14ac:dyDescent="0.25">
      <c r="B83" s="13" t="s">
        <v>243</v>
      </c>
      <c r="C83" s="13"/>
      <c r="D83" s="13"/>
      <c r="E83" s="13"/>
      <c r="F83" s="13"/>
      <c r="G83" s="13"/>
    </row>
    <row r="84" spans="1:7" x14ac:dyDescent="0.25">
      <c r="B84" s="13" t="s">
        <v>247</v>
      </c>
      <c r="C84" s="13"/>
      <c r="D84" s="13"/>
      <c r="E84" s="13"/>
      <c r="F84" s="13"/>
      <c r="G84" s="13"/>
    </row>
    <row r="85" spans="1:7" x14ac:dyDescent="0.25">
      <c r="B85" s="13" t="s">
        <v>256</v>
      </c>
      <c r="C85" s="13"/>
      <c r="D85" s="13"/>
      <c r="E85" s="13"/>
      <c r="F85" s="13"/>
      <c r="G85" s="13"/>
    </row>
    <row r="86" spans="1:7" x14ac:dyDescent="0.25">
      <c r="B86" s="13" t="s">
        <v>198</v>
      </c>
      <c r="C86" s="13"/>
      <c r="D86" s="13"/>
      <c r="E86" s="13"/>
      <c r="F86" s="13"/>
      <c r="G86" s="13"/>
    </row>
    <row r="87" spans="1:7" x14ac:dyDescent="0.25">
      <c r="B87" s="13" t="s">
        <v>200</v>
      </c>
      <c r="C87" s="13"/>
      <c r="D87" s="13"/>
      <c r="E87" s="13"/>
      <c r="F87" s="13"/>
      <c r="G87" s="13"/>
    </row>
    <row r="88" spans="1:7" x14ac:dyDescent="0.25">
      <c r="B88" s="13" t="s">
        <v>235</v>
      </c>
      <c r="C88" s="13"/>
      <c r="D88" s="13"/>
      <c r="E88" s="13"/>
      <c r="F88" s="13"/>
      <c r="G88" s="13"/>
    </row>
    <row r="89" spans="1:7" x14ac:dyDescent="0.25">
      <c r="B89" s="13" t="s">
        <v>246</v>
      </c>
      <c r="C89" s="13"/>
      <c r="D89" s="13"/>
      <c r="E89" s="13"/>
      <c r="F89" s="13"/>
      <c r="G89" s="13"/>
    </row>
    <row r="90" spans="1:7" x14ac:dyDescent="0.25">
      <c r="B90" s="13" t="s">
        <v>236</v>
      </c>
      <c r="C90" s="13"/>
      <c r="D90" s="13"/>
      <c r="E90" s="13"/>
      <c r="F90" s="13"/>
      <c r="G90" s="13"/>
    </row>
    <row r="91" spans="1:7" x14ac:dyDescent="0.25">
      <c r="B91" s="13" t="s">
        <v>244</v>
      </c>
      <c r="C91" s="13"/>
      <c r="D91" s="13"/>
      <c r="E91" s="13"/>
      <c r="F91" s="13"/>
      <c r="G91" s="13"/>
    </row>
    <row r="92" spans="1:7" x14ac:dyDescent="0.25">
      <c r="B92" s="13" t="s">
        <v>266</v>
      </c>
      <c r="C92" s="13"/>
      <c r="D92" s="13"/>
      <c r="E92" s="13"/>
      <c r="F92" s="13"/>
      <c r="G92" s="13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7"/>
  <dimension ref="A2:K114"/>
  <sheetViews>
    <sheetView tabSelected="1" zoomScale="70" zoomScaleNormal="70" workbookViewId="0">
      <selection activeCell="J3" sqref="J3"/>
    </sheetView>
  </sheetViews>
  <sheetFormatPr defaultColWidth="8.85546875" defaultRowHeight="15" x14ac:dyDescent="0.25"/>
  <cols>
    <col min="1" max="1" width="20.140625" bestFit="1" customWidth="1"/>
    <col min="2" max="2" width="16.7109375" bestFit="1" customWidth="1"/>
    <col min="3" max="3" width="54.85546875" bestFit="1" customWidth="1"/>
    <col min="4" max="4" width="11.5703125" bestFit="1" customWidth="1"/>
    <col min="5" max="5" width="13.140625" bestFit="1" customWidth="1"/>
    <col min="6" max="7" width="7.85546875" bestFit="1" customWidth="1"/>
    <col min="8" max="8" width="19.7109375" bestFit="1" customWidth="1"/>
    <col min="9" max="9" width="7.28515625" bestFit="1" customWidth="1"/>
    <col min="10" max="10" width="18.7109375" customWidth="1"/>
    <col min="11" max="11" width="20.7109375" customWidth="1"/>
  </cols>
  <sheetData>
    <row r="2" spans="1:11" ht="16.5" x14ac:dyDescent="0.3">
      <c r="A2" s="229" t="s">
        <v>269</v>
      </c>
      <c r="B2" s="229"/>
      <c r="C2" s="229"/>
      <c r="D2" s="229"/>
      <c r="E2" s="229"/>
      <c r="F2" s="229"/>
      <c r="G2" s="229"/>
      <c r="H2" s="229"/>
      <c r="I2" s="229"/>
      <c r="J2" s="254" t="s">
        <v>510</v>
      </c>
      <c r="K2" s="254" t="s">
        <v>203</v>
      </c>
    </row>
    <row r="3" spans="1:11" x14ac:dyDescent="0.25">
      <c r="A3" s="230" t="s">
        <v>70</v>
      </c>
      <c r="B3" s="230" t="s">
        <v>207</v>
      </c>
      <c r="C3" s="230" t="s">
        <v>208</v>
      </c>
      <c r="D3" s="230" t="s">
        <v>209</v>
      </c>
      <c r="E3" s="230" t="s">
        <v>210</v>
      </c>
      <c r="F3" s="230" t="s">
        <v>129</v>
      </c>
      <c r="G3" s="230" t="s">
        <v>130</v>
      </c>
      <c r="H3" s="230" t="s">
        <v>203</v>
      </c>
      <c r="I3" s="230" t="s">
        <v>185</v>
      </c>
      <c r="J3" s="255">
        <v>46235</v>
      </c>
      <c r="K3" s="258">
        <f>$H$86</f>
        <v>114242</v>
      </c>
    </row>
    <row r="4" spans="1:11" x14ac:dyDescent="0.25">
      <c r="A4" s="240">
        <v>46239</v>
      </c>
      <c r="B4" s="241" t="s">
        <v>131</v>
      </c>
      <c r="C4" s="241"/>
      <c r="D4" s="242"/>
      <c r="E4" s="242"/>
      <c r="F4" s="242"/>
      <c r="G4" s="242">
        <v>110</v>
      </c>
      <c r="H4" s="242"/>
      <c r="I4" s="257"/>
      <c r="J4" s="256">
        <v>46266</v>
      </c>
      <c r="K4" s="258">
        <f>$H$97</f>
        <v>7900</v>
      </c>
    </row>
    <row r="5" spans="1:11" x14ac:dyDescent="0.25">
      <c r="A5" s="240">
        <v>46239</v>
      </c>
      <c r="B5" s="241" t="s">
        <v>132</v>
      </c>
      <c r="C5" s="241" t="s">
        <v>133</v>
      </c>
      <c r="D5" s="242"/>
      <c r="E5" s="242"/>
      <c r="F5" s="242"/>
      <c r="G5" s="242"/>
      <c r="H5" s="242"/>
      <c r="I5" s="257"/>
      <c r="J5" s="256">
        <v>46296</v>
      </c>
      <c r="K5" s="258">
        <f>$H$113</f>
        <v>20464.8</v>
      </c>
    </row>
    <row r="6" spans="1:11" ht="16.5" thickBot="1" x14ac:dyDescent="0.35">
      <c r="A6" s="240">
        <v>46239</v>
      </c>
      <c r="B6" s="241"/>
      <c r="C6" s="241" t="s">
        <v>134</v>
      </c>
      <c r="D6" s="242"/>
      <c r="E6" s="242"/>
      <c r="F6" s="242"/>
      <c r="G6" s="242"/>
      <c r="H6" s="242"/>
      <c r="I6" s="257"/>
      <c r="J6" s="259" t="s">
        <v>69</v>
      </c>
      <c r="K6" s="260">
        <f>SUM(K3:K5)</f>
        <v>142606.79999999999</v>
      </c>
    </row>
    <row r="7" spans="1:11" ht="15.75" thickTop="1" x14ac:dyDescent="0.25">
      <c r="A7" s="240">
        <v>46239</v>
      </c>
      <c r="B7" s="241"/>
      <c r="C7" s="241" t="s">
        <v>135</v>
      </c>
      <c r="D7" s="242"/>
      <c r="E7" s="242"/>
      <c r="F7" s="242"/>
      <c r="G7" s="242"/>
      <c r="H7" s="242"/>
      <c r="I7" s="241"/>
    </row>
    <row r="8" spans="1:11" x14ac:dyDescent="0.25">
      <c r="A8" s="240">
        <v>46239</v>
      </c>
      <c r="B8" s="241"/>
      <c r="C8" s="241" t="s">
        <v>136</v>
      </c>
      <c r="D8" s="242"/>
      <c r="E8" s="242"/>
      <c r="F8" s="242"/>
      <c r="G8" s="242"/>
      <c r="H8" s="242"/>
      <c r="I8" s="241"/>
    </row>
    <row r="9" spans="1:11" x14ac:dyDescent="0.25">
      <c r="A9" s="240">
        <v>46239</v>
      </c>
      <c r="B9" s="241" t="s">
        <v>137</v>
      </c>
      <c r="C9" s="241" t="s">
        <v>138</v>
      </c>
      <c r="D9" s="242"/>
      <c r="E9" s="242"/>
      <c r="F9" s="242"/>
      <c r="G9" s="242"/>
      <c r="H9" s="242"/>
      <c r="I9" s="241"/>
    </row>
    <row r="10" spans="1:11" x14ac:dyDescent="0.25">
      <c r="A10" s="240">
        <v>46239</v>
      </c>
      <c r="B10" s="241"/>
      <c r="C10" s="241" t="s">
        <v>139</v>
      </c>
      <c r="D10" s="242"/>
      <c r="E10" s="242"/>
      <c r="F10" s="242"/>
      <c r="G10" s="242"/>
      <c r="H10" s="242"/>
      <c r="I10" s="241"/>
    </row>
    <row r="11" spans="1:11" x14ac:dyDescent="0.25">
      <c r="A11" s="240">
        <v>46239</v>
      </c>
      <c r="B11" s="241"/>
      <c r="C11" s="241" t="s">
        <v>140</v>
      </c>
      <c r="D11" s="242"/>
      <c r="E11" s="242"/>
      <c r="F11" s="242"/>
      <c r="G11" s="242"/>
      <c r="H11" s="242"/>
      <c r="I11" s="241"/>
    </row>
    <row r="12" spans="1:11" x14ac:dyDescent="0.25">
      <c r="A12" s="240">
        <v>46239</v>
      </c>
      <c r="B12" s="241"/>
      <c r="C12" s="241" t="s">
        <v>141</v>
      </c>
      <c r="D12" s="242"/>
      <c r="E12" s="242"/>
      <c r="F12" s="242"/>
      <c r="G12" s="242"/>
      <c r="H12" s="242"/>
      <c r="I12" s="241"/>
    </row>
    <row r="13" spans="1:11" x14ac:dyDescent="0.25">
      <c r="A13" s="240">
        <v>46239</v>
      </c>
      <c r="B13" s="241"/>
      <c r="C13" s="241" t="s">
        <v>142</v>
      </c>
      <c r="D13" s="242"/>
      <c r="E13" s="242"/>
      <c r="F13" s="242"/>
      <c r="G13" s="242"/>
      <c r="H13" s="242"/>
      <c r="I13" s="241"/>
    </row>
    <row r="14" spans="1:11" x14ac:dyDescent="0.25">
      <c r="A14" s="240">
        <v>46239</v>
      </c>
      <c r="B14" s="241"/>
      <c r="C14" s="241" t="s">
        <v>143</v>
      </c>
      <c r="D14" s="242"/>
      <c r="E14" s="242"/>
      <c r="F14" s="242"/>
      <c r="G14" s="242"/>
      <c r="H14" s="242"/>
      <c r="I14" s="241"/>
    </row>
    <row r="15" spans="1:11" x14ac:dyDescent="0.25">
      <c r="A15" s="240">
        <v>46239</v>
      </c>
      <c r="B15" s="241"/>
      <c r="C15" s="241" t="s">
        <v>144</v>
      </c>
      <c r="D15" s="242"/>
      <c r="E15" s="242"/>
      <c r="F15" s="242"/>
      <c r="G15" s="242"/>
      <c r="H15" s="242"/>
      <c r="I15" s="241"/>
    </row>
    <row r="16" spans="1:11" x14ac:dyDescent="0.25">
      <c r="A16" s="240">
        <v>46239</v>
      </c>
      <c r="B16" s="241"/>
      <c r="C16" s="241" t="s">
        <v>145</v>
      </c>
      <c r="D16" s="242"/>
      <c r="E16" s="242"/>
      <c r="F16" s="242"/>
      <c r="G16" s="242"/>
      <c r="H16" s="242"/>
      <c r="I16" s="241"/>
    </row>
    <row r="17" spans="1:9" x14ac:dyDescent="0.25">
      <c r="A17" s="240">
        <v>46239</v>
      </c>
      <c r="B17" s="241" t="s">
        <v>146</v>
      </c>
      <c r="C17" s="241" t="s">
        <v>147</v>
      </c>
      <c r="D17" s="242">
        <v>5</v>
      </c>
      <c r="E17" s="242"/>
      <c r="F17" s="242">
        <v>400</v>
      </c>
      <c r="G17" s="242"/>
      <c r="H17" s="242">
        <v>2000</v>
      </c>
      <c r="I17" s="241"/>
    </row>
    <row r="18" spans="1:9" x14ac:dyDescent="0.25">
      <c r="A18" s="240">
        <v>46239</v>
      </c>
      <c r="B18" s="241"/>
      <c r="C18" s="241" t="s">
        <v>148</v>
      </c>
      <c r="D18" s="242">
        <v>10</v>
      </c>
      <c r="E18" s="242"/>
      <c r="F18" s="242">
        <v>300</v>
      </c>
      <c r="G18" s="242"/>
      <c r="H18" s="242">
        <v>3000</v>
      </c>
      <c r="I18" s="241"/>
    </row>
    <row r="19" spans="1:9" x14ac:dyDescent="0.25">
      <c r="A19" s="240">
        <v>46239</v>
      </c>
      <c r="B19" s="241"/>
      <c r="C19" s="241" t="s">
        <v>213</v>
      </c>
      <c r="D19" s="242"/>
      <c r="E19" s="242"/>
      <c r="F19" s="242"/>
      <c r="G19" s="242"/>
      <c r="H19" s="242"/>
      <c r="I19" s="241"/>
    </row>
    <row r="20" spans="1:9" x14ac:dyDescent="0.25">
      <c r="A20" s="240">
        <v>46239</v>
      </c>
      <c r="B20" s="241"/>
      <c r="C20" s="241" t="s">
        <v>214</v>
      </c>
      <c r="D20" s="242"/>
      <c r="E20" s="242"/>
      <c r="F20" s="242"/>
      <c r="G20" s="242"/>
      <c r="H20" s="242"/>
      <c r="I20" s="241"/>
    </row>
    <row r="21" spans="1:9" x14ac:dyDescent="0.25">
      <c r="A21" s="240">
        <v>46239</v>
      </c>
      <c r="B21" s="241"/>
      <c r="C21" s="241" t="s">
        <v>149</v>
      </c>
      <c r="D21" s="242"/>
      <c r="E21" s="242"/>
      <c r="F21" s="242"/>
      <c r="G21" s="242"/>
      <c r="H21" s="242"/>
      <c r="I21" s="241"/>
    </row>
    <row r="22" spans="1:9" x14ac:dyDescent="0.25">
      <c r="A22" s="240">
        <v>46239</v>
      </c>
      <c r="B22" s="241"/>
      <c r="C22" s="241" t="s">
        <v>150</v>
      </c>
      <c r="D22" s="242"/>
      <c r="E22" s="242"/>
      <c r="F22" s="242"/>
      <c r="G22" s="242"/>
      <c r="H22" s="242"/>
      <c r="I22" s="241"/>
    </row>
    <row r="23" spans="1:9" x14ac:dyDescent="0.25">
      <c r="A23" s="240">
        <v>46239</v>
      </c>
      <c r="B23" s="241"/>
      <c r="C23" s="241" t="s">
        <v>151</v>
      </c>
      <c r="D23" s="242"/>
      <c r="E23" s="242"/>
      <c r="F23" s="242"/>
      <c r="G23" s="242"/>
      <c r="H23" s="242"/>
      <c r="I23" s="241"/>
    </row>
    <row r="24" spans="1:9" x14ac:dyDescent="0.25">
      <c r="A24" s="240">
        <v>46239</v>
      </c>
      <c r="B24" s="241" t="s">
        <v>152</v>
      </c>
      <c r="C24" s="241" t="s">
        <v>131</v>
      </c>
      <c r="D24" s="242"/>
      <c r="E24" s="242"/>
      <c r="F24" s="242"/>
      <c r="G24" s="242"/>
      <c r="H24" s="242"/>
      <c r="I24" s="241"/>
    </row>
    <row r="25" spans="1:9" x14ac:dyDescent="0.25">
      <c r="A25" s="240">
        <v>46239</v>
      </c>
      <c r="B25" s="241"/>
      <c r="C25" s="241" t="s">
        <v>153</v>
      </c>
      <c r="D25" s="242"/>
      <c r="E25" s="242"/>
      <c r="F25" s="242"/>
      <c r="G25" s="242"/>
      <c r="H25" s="242"/>
      <c r="I25" s="241"/>
    </row>
    <row r="26" spans="1:9" x14ac:dyDescent="0.25">
      <c r="A26" s="240">
        <v>46239</v>
      </c>
      <c r="B26" s="241"/>
      <c r="C26" s="241" t="s">
        <v>154</v>
      </c>
      <c r="D26" s="242"/>
      <c r="E26" s="242"/>
      <c r="F26" s="242"/>
      <c r="G26" s="242"/>
      <c r="H26" s="242"/>
      <c r="I26" s="241"/>
    </row>
    <row r="27" spans="1:9" x14ac:dyDescent="0.25">
      <c r="A27" s="240">
        <v>46239</v>
      </c>
      <c r="B27" s="241"/>
      <c r="C27" s="241" t="s">
        <v>155</v>
      </c>
      <c r="D27" s="242"/>
      <c r="E27" s="242"/>
      <c r="F27" s="242"/>
      <c r="G27" s="242"/>
      <c r="H27" s="242"/>
      <c r="I27" s="241"/>
    </row>
    <row r="28" spans="1:9" x14ac:dyDescent="0.25">
      <c r="A28" s="240">
        <v>46239</v>
      </c>
      <c r="B28" s="241"/>
      <c r="C28" s="241" t="s">
        <v>156</v>
      </c>
      <c r="D28" s="242"/>
      <c r="E28" s="242"/>
      <c r="F28" s="242"/>
      <c r="G28" s="242"/>
      <c r="H28" s="242"/>
      <c r="I28" s="241"/>
    </row>
    <row r="29" spans="1:9" x14ac:dyDescent="0.25">
      <c r="A29" s="240">
        <v>46239</v>
      </c>
      <c r="B29" s="241" t="s">
        <v>157</v>
      </c>
      <c r="C29" s="241" t="s">
        <v>158</v>
      </c>
      <c r="D29" s="242"/>
      <c r="E29" s="242"/>
      <c r="F29" s="242"/>
      <c r="G29" s="242"/>
      <c r="H29" s="242"/>
      <c r="I29" s="241"/>
    </row>
    <row r="30" spans="1:9" x14ac:dyDescent="0.25">
      <c r="A30" s="240">
        <v>46239</v>
      </c>
      <c r="B30" s="241"/>
      <c r="C30" s="241" t="s">
        <v>159</v>
      </c>
      <c r="D30" s="242"/>
      <c r="E30" s="242"/>
      <c r="F30" s="242"/>
      <c r="G30" s="242"/>
      <c r="H30" s="242"/>
      <c r="I30" s="241"/>
    </row>
    <row r="31" spans="1:9" x14ac:dyDescent="0.25">
      <c r="A31" s="240">
        <v>46239</v>
      </c>
      <c r="B31" s="241"/>
      <c r="C31" s="241" t="s">
        <v>160</v>
      </c>
      <c r="D31" s="242"/>
      <c r="E31" s="242"/>
      <c r="F31" s="242"/>
      <c r="G31" s="242"/>
      <c r="H31" s="242"/>
      <c r="I31" s="241"/>
    </row>
    <row r="32" spans="1:9" x14ac:dyDescent="0.25">
      <c r="A32" s="240">
        <v>46239</v>
      </c>
      <c r="B32" s="241"/>
      <c r="C32" s="241" t="s">
        <v>161</v>
      </c>
      <c r="D32" s="242"/>
      <c r="E32" s="242"/>
      <c r="F32" s="242"/>
      <c r="G32" s="242"/>
      <c r="H32" s="242"/>
      <c r="I32" s="241"/>
    </row>
    <row r="33" spans="1:9" x14ac:dyDescent="0.25">
      <c r="A33" s="240">
        <v>46239</v>
      </c>
      <c r="B33" s="241"/>
      <c r="C33" s="241" t="s">
        <v>162</v>
      </c>
      <c r="D33" s="242"/>
      <c r="E33" s="242"/>
      <c r="F33" s="242"/>
      <c r="G33" s="242"/>
      <c r="H33" s="242"/>
      <c r="I33" s="241"/>
    </row>
    <row r="34" spans="1:9" x14ac:dyDescent="0.25">
      <c r="A34" s="240">
        <v>46239</v>
      </c>
      <c r="B34" s="241" t="s">
        <v>163</v>
      </c>
      <c r="C34" s="241" t="s">
        <v>164</v>
      </c>
      <c r="D34" s="242"/>
      <c r="E34" s="242"/>
      <c r="F34" s="242"/>
      <c r="G34" s="242"/>
      <c r="H34" s="242"/>
      <c r="I34" s="241"/>
    </row>
    <row r="35" spans="1:9" x14ac:dyDescent="0.25">
      <c r="A35" s="240">
        <v>46239</v>
      </c>
      <c r="B35" s="241"/>
      <c r="C35" s="241" t="s">
        <v>165</v>
      </c>
      <c r="D35" s="242"/>
      <c r="E35" s="242"/>
      <c r="F35" s="242"/>
      <c r="G35" s="242"/>
      <c r="H35" s="242"/>
      <c r="I35" s="241"/>
    </row>
    <row r="36" spans="1:9" x14ac:dyDescent="0.25">
      <c r="A36" s="240">
        <v>46239</v>
      </c>
      <c r="B36" s="241"/>
      <c r="C36" s="241" t="s">
        <v>166</v>
      </c>
      <c r="D36" s="242"/>
      <c r="E36" s="242"/>
      <c r="F36" s="242"/>
      <c r="G36" s="242"/>
      <c r="H36" s="242"/>
      <c r="I36" s="241"/>
    </row>
    <row r="37" spans="1:9" x14ac:dyDescent="0.25">
      <c r="A37" s="240">
        <v>46239</v>
      </c>
      <c r="B37" s="241"/>
      <c r="C37" s="241" t="s">
        <v>167</v>
      </c>
      <c r="D37" s="242"/>
      <c r="E37" s="242"/>
      <c r="F37" s="242"/>
      <c r="G37" s="242"/>
      <c r="H37" s="242"/>
      <c r="I37" s="241"/>
    </row>
    <row r="38" spans="1:9" x14ac:dyDescent="0.25">
      <c r="A38" s="240">
        <v>46239</v>
      </c>
      <c r="B38" s="241"/>
      <c r="C38" s="241" t="s">
        <v>168</v>
      </c>
      <c r="D38" s="242"/>
      <c r="E38" s="242"/>
      <c r="F38" s="242"/>
      <c r="G38" s="242"/>
      <c r="H38" s="242"/>
      <c r="I38" s="241"/>
    </row>
    <row r="39" spans="1:9" x14ac:dyDescent="0.25">
      <c r="A39" s="240">
        <v>46239</v>
      </c>
      <c r="B39" s="241"/>
      <c r="C39" s="241" t="s">
        <v>169</v>
      </c>
      <c r="D39" s="242"/>
      <c r="E39" s="242"/>
      <c r="F39" s="242"/>
      <c r="G39" s="242"/>
      <c r="H39" s="242"/>
      <c r="I39" s="241"/>
    </row>
    <row r="40" spans="1:9" x14ac:dyDescent="0.25">
      <c r="A40" s="240">
        <v>46239</v>
      </c>
      <c r="B40" s="241" t="s">
        <v>170</v>
      </c>
      <c r="C40" s="241" t="s">
        <v>171</v>
      </c>
      <c r="D40" s="242"/>
      <c r="E40" s="242"/>
      <c r="F40" s="242"/>
      <c r="G40" s="242"/>
      <c r="H40" s="242"/>
      <c r="I40" s="241"/>
    </row>
    <row r="41" spans="1:9" x14ac:dyDescent="0.25">
      <c r="A41" s="240">
        <v>46239</v>
      </c>
      <c r="B41" s="241"/>
      <c r="C41" s="241" t="s">
        <v>188</v>
      </c>
      <c r="D41" s="242">
        <v>0.7</v>
      </c>
      <c r="E41" s="242"/>
      <c r="F41" s="242">
        <v>400</v>
      </c>
      <c r="G41" s="242"/>
      <c r="H41" s="242">
        <v>280</v>
      </c>
      <c r="I41" s="241"/>
    </row>
    <row r="42" spans="1:9" x14ac:dyDescent="0.25">
      <c r="A42" s="240">
        <v>46239</v>
      </c>
      <c r="B42" s="241"/>
      <c r="C42" s="241" t="s">
        <v>189</v>
      </c>
      <c r="D42" s="242">
        <v>1</v>
      </c>
      <c r="E42" s="242"/>
      <c r="F42" s="242">
        <v>220</v>
      </c>
      <c r="G42" s="242"/>
      <c r="H42" s="242">
        <v>220</v>
      </c>
      <c r="I42" s="241"/>
    </row>
    <row r="43" spans="1:9" x14ac:dyDescent="0.25">
      <c r="A43" s="240">
        <v>46239</v>
      </c>
      <c r="B43" s="241"/>
      <c r="C43" s="241" t="s">
        <v>190</v>
      </c>
      <c r="D43" s="242"/>
      <c r="E43" s="242" t="s">
        <v>191</v>
      </c>
      <c r="F43" s="242">
        <v>5</v>
      </c>
      <c r="G43" s="242"/>
      <c r="H43" s="242">
        <v>45</v>
      </c>
      <c r="I43" s="241"/>
    </row>
    <row r="44" spans="1:9" x14ac:dyDescent="0.25">
      <c r="A44" s="240">
        <v>46239</v>
      </c>
      <c r="B44" s="241"/>
      <c r="C44" s="241" t="s">
        <v>192</v>
      </c>
      <c r="D44" s="242"/>
      <c r="E44" s="242" t="s">
        <v>193</v>
      </c>
      <c r="F44" s="242">
        <v>5</v>
      </c>
      <c r="G44" s="242"/>
      <c r="H44" s="242">
        <v>60</v>
      </c>
      <c r="I44" s="241"/>
    </row>
    <row r="45" spans="1:9" x14ac:dyDescent="0.25">
      <c r="A45" s="240">
        <v>46239</v>
      </c>
      <c r="B45" s="241" t="s">
        <v>172</v>
      </c>
      <c r="C45" s="241" t="s">
        <v>173</v>
      </c>
      <c r="D45" s="242"/>
      <c r="E45" s="242"/>
      <c r="F45" s="242"/>
      <c r="G45" s="242"/>
      <c r="H45" s="242"/>
      <c r="I45" s="241"/>
    </row>
    <row r="46" spans="1:9" x14ac:dyDescent="0.25">
      <c r="A46" s="240">
        <v>46239</v>
      </c>
      <c r="B46" s="241"/>
      <c r="C46" s="241" t="s">
        <v>174</v>
      </c>
      <c r="D46" s="242"/>
      <c r="E46" s="242"/>
      <c r="F46" s="242"/>
      <c r="G46" s="242"/>
      <c r="H46" s="242"/>
      <c r="I46" s="241"/>
    </row>
    <row r="47" spans="1:9" x14ac:dyDescent="0.25">
      <c r="A47" s="240">
        <v>46239</v>
      </c>
      <c r="B47" s="241" t="s">
        <v>175</v>
      </c>
      <c r="C47" s="241" t="s">
        <v>176</v>
      </c>
      <c r="D47" s="242"/>
      <c r="E47" s="242"/>
      <c r="F47" s="242"/>
      <c r="G47" s="242"/>
      <c r="H47" s="242"/>
      <c r="I47" s="241"/>
    </row>
    <row r="48" spans="1:9" x14ac:dyDescent="0.25">
      <c r="A48" s="240">
        <v>46239</v>
      </c>
      <c r="B48" s="241"/>
      <c r="C48" s="241" t="s">
        <v>177</v>
      </c>
      <c r="D48" s="242"/>
      <c r="E48" s="242"/>
      <c r="F48" s="242"/>
      <c r="G48" s="242"/>
      <c r="H48" s="242"/>
      <c r="I48" s="241"/>
    </row>
    <row r="49" spans="1:9" x14ac:dyDescent="0.25">
      <c r="A49" s="240">
        <v>46239</v>
      </c>
      <c r="B49" s="241"/>
      <c r="C49" s="241" t="s">
        <v>178</v>
      </c>
      <c r="D49" s="242"/>
      <c r="E49" s="242"/>
      <c r="F49" s="242"/>
      <c r="G49" s="242"/>
      <c r="H49" s="242"/>
      <c r="I49" s="241"/>
    </row>
    <row r="50" spans="1:9" x14ac:dyDescent="0.25">
      <c r="A50" s="240">
        <v>46239</v>
      </c>
      <c r="B50" s="241"/>
      <c r="C50" s="241" t="s">
        <v>179</v>
      </c>
      <c r="D50" s="242"/>
      <c r="E50" s="242"/>
      <c r="F50" s="242"/>
      <c r="G50" s="242"/>
      <c r="H50" s="242"/>
      <c r="I50" s="241"/>
    </row>
    <row r="51" spans="1:9" x14ac:dyDescent="0.25">
      <c r="A51" s="240">
        <v>46239</v>
      </c>
      <c r="B51" s="241" t="s">
        <v>194</v>
      </c>
      <c r="C51" s="241" t="s">
        <v>195</v>
      </c>
      <c r="D51" s="242">
        <v>1</v>
      </c>
      <c r="E51" s="242"/>
      <c r="F51" s="242">
        <v>560</v>
      </c>
      <c r="G51" s="242"/>
      <c r="H51" s="242">
        <v>560</v>
      </c>
      <c r="I51" s="241"/>
    </row>
    <row r="52" spans="1:9" x14ac:dyDescent="0.25">
      <c r="A52" s="240">
        <v>46239</v>
      </c>
      <c r="B52" s="241"/>
      <c r="C52" s="241" t="s">
        <v>196</v>
      </c>
      <c r="D52" s="242">
        <v>0.5</v>
      </c>
      <c r="E52" s="242"/>
      <c r="F52" s="242">
        <v>900</v>
      </c>
      <c r="G52" s="242">
        <v>70</v>
      </c>
      <c r="H52" s="242">
        <v>520</v>
      </c>
      <c r="I52" s="241"/>
    </row>
    <row r="53" spans="1:9" x14ac:dyDescent="0.25">
      <c r="A53" s="240">
        <v>46239</v>
      </c>
      <c r="B53" s="241"/>
      <c r="C53" s="241" t="s">
        <v>197</v>
      </c>
      <c r="D53" s="242">
        <v>0.5</v>
      </c>
      <c r="E53" s="242"/>
      <c r="F53" s="242">
        <v>600</v>
      </c>
      <c r="G53" s="242"/>
      <c r="H53" s="242">
        <v>300</v>
      </c>
      <c r="I53" s="241"/>
    </row>
    <row r="54" spans="1:9" x14ac:dyDescent="0.25">
      <c r="A54" s="231">
        <v>46239</v>
      </c>
      <c r="B54" s="232" t="s">
        <v>199</v>
      </c>
      <c r="C54" s="232" t="s">
        <v>198</v>
      </c>
      <c r="D54" s="233"/>
      <c r="E54" s="233"/>
      <c r="F54" s="233"/>
      <c r="G54" s="233"/>
      <c r="H54" s="233"/>
      <c r="I54" s="232"/>
    </row>
    <row r="55" spans="1:9" ht="15.75" thickBot="1" x14ac:dyDescent="0.3">
      <c r="A55" s="243">
        <v>46239</v>
      </c>
      <c r="B55" s="244"/>
      <c r="C55" s="244" t="s">
        <v>200</v>
      </c>
      <c r="D55" s="245"/>
      <c r="E55" s="245">
        <v>40</v>
      </c>
      <c r="F55" s="245">
        <v>10</v>
      </c>
      <c r="G55" s="245"/>
      <c r="H55" s="245">
        <v>400</v>
      </c>
      <c r="I55" s="244"/>
    </row>
    <row r="56" spans="1:9" x14ac:dyDescent="0.25">
      <c r="A56" s="234">
        <v>46240</v>
      </c>
      <c r="B56" s="235"/>
      <c r="C56" s="235" t="s">
        <v>213</v>
      </c>
      <c r="D56" s="236">
        <v>2</v>
      </c>
      <c r="E56" s="236"/>
      <c r="F56" s="236">
        <v>270</v>
      </c>
      <c r="G56" s="236"/>
      <c r="H56" s="236">
        <v>540</v>
      </c>
      <c r="I56" s="235"/>
    </row>
    <row r="57" spans="1:9" ht="15.75" thickBot="1" x14ac:dyDescent="0.3">
      <c r="A57" s="231">
        <v>46240</v>
      </c>
      <c r="B57" s="232"/>
      <c r="C57" s="232" t="s">
        <v>151</v>
      </c>
      <c r="D57" s="233">
        <v>4.2</v>
      </c>
      <c r="E57" s="233"/>
      <c r="F57" s="233">
        <v>350</v>
      </c>
      <c r="G57" s="233">
        <v>70</v>
      </c>
      <c r="H57" s="233">
        <v>1540</v>
      </c>
      <c r="I57" s="232"/>
    </row>
    <row r="58" spans="1:9" ht="15.75" thickBot="1" x14ac:dyDescent="0.3">
      <c r="A58" s="246">
        <v>46243</v>
      </c>
      <c r="B58" s="247" t="s">
        <v>132</v>
      </c>
      <c r="C58" s="247" t="s">
        <v>257</v>
      </c>
      <c r="D58" s="248"/>
      <c r="E58" s="248"/>
      <c r="F58" s="248"/>
      <c r="G58" s="248"/>
      <c r="H58" s="248">
        <v>20000</v>
      </c>
      <c r="I58" s="247"/>
    </row>
    <row r="59" spans="1:9" x14ac:dyDescent="0.25">
      <c r="A59" s="237">
        <v>46245</v>
      </c>
      <c r="B59" s="238" t="s">
        <v>152</v>
      </c>
      <c r="C59" s="238" t="s">
        <v>131</v>
      </c>
      <c r="D59" s="239">
        <v>50</v>
      </c>
      <c r="E59" s="239"/>
      <c r="F59" s="239">
        <v>41</v>
      </c>
      <c r="G59" s="239">
        <v>60</v>
      </c>
      <c r="H59" s="239">
        <v>2110</v>
      </c>
      <c r="I59" s="238"/>
    </row>
    <row r="60" spans="1:9" x14ac:dyDescent="0.25">
      <c r="A60" s="240">
        <v>46245</v>
      </c>
      <c r="B60" s="241"/>
      <c r="C60" s="241" t="s">
        <v>189</v>
      </c>
      <c r="D60" s="242"/>
      <c r="E60" s="242"/>
      <c r="F60" s="242"/>
      <c r="G60" s="242"/>
      <c r="H60" s="242">
        <v>1400</v>
      </c>
      <c r="I60" s="241"/>
    </row>
    <row r="61" spans="1:9" x14ac:dyDescent="0.25">
      <c r="A61" s="231">
        <v>46245</v>
      </c>
      <c r="B61" s="232"/>
      <c r="C61" s="232" t="s">
        <v>236</v>
      </c>
      <c r="D61" s="233"/>
      <c r="E61" s="233"/>
      <c r="F61" s="233"/>
      <c r="G61" s="233"/>
      <c r="H61" s="233">
        <v>500</v>
      </c>
      <c r="I61" s="232"/>
    </row>
    <row r="62" spans="1:9" ht="15.75" thickBot="1" x14ac:dyDescent="0.3">
      <c r="A62" s="243">
        <v>46245</v>
      </c>
      <c r="B62" s="244"/>
      <c r="C62" s="244" t="s">
        <v>256</v>
      </c>
      <c r="D62" s="245"/>
      <c r="E62" s="245"/>
      <c r="F62" s="245"/>
      <c r="G62" s="245"/>
      <c r="H62" s="245">
        <v>13500</v>
      </c>
      <c r="I62" s="244"/>
    </row>
    <row r="63" spans="1:9" x14ac:dyDescent="0.25">
      <c r="A63" s="234">
        <v>46246</v>
      </c>
      <c r="B63" s="235"/>
      <c r="C63" s="235" t="s">
        <v>234</v>
      </c>
      <c r="D63" s="236"/>
      <c r="E63" s="236"/>
      <c r="F63" s="236"/>
      <c r="G63" s="236"/>
      <c r="H63" s="236">
        <v>2700</v>
      </c>
      <c r="I63" s="235"/>
    </row>
    <row r="64" spans="1:9" ht="15.75" thickBot="1" x14ac:dyDescent="0.3">
      <c r="A64" s="231">
        <v>46246</v>
      </c>
      <c r="B64" s="232"/>
      <c r="C64" s="232" t="s">
        <v>235</v>
      </c>
      <c r="D64" s="233"/>
      <c r="E64" s="233"/>
      <c r="F64" s="233"/>
      <c r="G64" s="233"/>
      <c r="H64" s="233">
        <v>20000</v>
      </c>
      <c r="I64" s="232"/>
    </row>
    <row r="65" spans="1:9" ht="15.75" thickBot="1" x14ac:dyDescent="0.3">
      <c r="A65" s="246">
        <v>46247</v>
      </c>
      <c r="B65" s="247"/>
      <c r="C65" s="247" t="s">
        <v>246</v>
      </c>
      <c r="D65" s="248"/>
      <c r="E65" s="248"/>
      <c r="F65" s="248"/>
      <c r="G65" s="248"/>
      <c r="H65" s="248">
        <v>1800</v>
      </c>
      <c r="I65" s="247"/>
    </row>
    <row r="66" spans="1:9" x14ac:dyDescent="0.25">
      <c r="A66" s="237">
        <v>46249</v>
      </c>
      <c r="B66" s="238"/>
      <c r="C66" s="238" t="s">
        <v>214</v>
      </c>
      <c r="D66" s="239"/>
      <c r="E66" s="239"/>
      <c r="F66" s="239"/>
      <c r="G66" s="239"/>
      <c r="H66" s="239">
        <v>1000</v>
      </c>
      <c r="I66" s="238"/>
    </row>
    <row r="67" spans="1:9" x14ac:dyDescent="0.25">
      <c r="A67" s="231">
        <v>46249</v>
      </c>
      <c r="B67" s="232" t="s">
        <v>146</v>
      </c>
      <c r="C67" s="232" t="s">
        <v>147</v>
      </c>
      <c r="D67" s="233">
        <v>1</v>
      </c>
      <c r="E67" s="233"/>
      <c r="F67" s="233">
        <v>400</v>
      </c>
      <c r="G67" s="233"/>
      <c r="H67" s="233">
        <v>400</v>
      </c>
      <c r="I67" s="232"/>
    </row>
    <row r="68" spans="1:9" ht="15.75" thickBot="1" x14ac:dyDescent="0.3">
      <c r="A68" s="243">
        <v>46249</v>
      </c>
      <c r="B68" s="244"/>
      <c r="C68" s="244" t="s">
        <v>211</v>
      </c>
      <c r="D68" s="245">
        <v>7.5</v>
      </c>
      <c r="E68" s="245"/>
      <c r="F68" s="245">
        <v>300</v>
      </c>
      <c r="G68" s="245"/>
      <c r="H68" s="245">
        <v>2250</v>
      </c>
      <c r="I68" s="244"/>
    </row>
    <row r="69" spans="1:9" x14ac:dyDescent="0.25">
      <c r="A69" s="234">
        <v>46251</v>
      </c>
      <c r="B69" s="235"/>
      <c r="C69" s="235" t="s">
        <v>243</v>
      </c>
      <c r="D69" s="236"/>
      <c r="E69" s="236"/>
      <c r="F69" s="236"/>
      <c r="G69" s="236"/>
      <c r="H69" s="236">
        <v>2500</v>
      </c>
      <c r="I69" s="235"/>
    </row>
    <row r="70" spans="1:9" ht="15.75" thickBot="1" x14ac:dyDescent="0.3">
      <c r="A70" s="231">
        <v>46251</v>
      </c>
      <c r="B70" s="232"/>
      <c r="C70" s="232" t="s">
        <v>261</v>
      </c>
      <c r="D70" s="233"/>
      <c r="E70" s="233"/>
      <c r="F70" s="233"/>
      <c r="G70" s="233"/>
      <c r="H70" s="233">
        <v>3250</v>
      </c>
      <c r="I70" s="232"/>
    </row>
    <row r="71" spans="1:9" ht="15.75" thickBot="1" x14ac:dyDescent="0.3">
      <c r="A71" s="249">
        <v>46252</v>
      </c>
      <c r="B71" s="250"/>
      <c r="C71" s="250" t="s">
        <v>247</v>
      </c>
      <c r="D71" s="251"/>
      <c r="E71" s="251"/>
      <c r="F71" s="251"/>
      <c r="G71" s="251"/>
      <c r="H71" s="251">
        <v>600</v>
      </c>
      <c r="I71" s="250"/>
    </row>
    <row r="72" spans="1:9" ht="15.75" thickBot="1" x14ac:dyDescent="0.3">
      <c r="A72" s="246">
        <v>46254</v>
      </c>
      <c r="B72" s="247"/>
      <c r="C72" s="247" t="s">
        <v>266</v>
      </c>
      <c r="D72" s="248"/>
      <c r="E72" s="248"/>
      <c r="F72" s="248"/>
      <c r="G72" s="248"/>
      <c r="H72" s="248">
        <v>20000</v>
      </c>
      <c r="I72" s="247"/>
    </row>
    <row r="73" spans="1:9" x14ac:dyDescent="0.25">
      <c r="A73" s="237">
        <v>46258</v>
      </c>
      <c r="B73" s="238" t="s">
        <v>146</v>
      </c>
      <c r="C73" s="238" t="s">
        <v>147</v>
      </c>
      <c r="D73" s="239">
        <v>5</v>
      </c>
      <c r="E73" s="239"/>
      <c r="F73" s="239">
        <v>400</v>
      </c>
      <c r="G73" s="239">
        <v>300</v>
      </c>
      <c r="H73" s="239">
        <v>2300</v>
      </c>
      <c r="I73" s="238"/>
    </row>
    <row r="74" spans="1:9" x14ac:dyDescent="0.25">
      <c r="A74" s="231">
        <v>46258</v>
      </c>
      <c r="B74" s="232"/>
      <c r="C74" s="232" t="s">
        <v>211</v>
      </c>
      <c r="D74" s="233">
        <v>6</v>
      </c>
      <c r="E74" s="233"/>
      <c r="F74" s="233">
        <v>300</v>
      </c>
      <c r="G74" s="233"/>
      <c r="H74" s="233">
        <v>1800</v>
      </c>
      <c r="I74" s="232"/>
    </row>
    <row r="75" spans="1:9" ht="15.75" thickBot="1" x14ac:dyDescent="0.3">
      <c r="A75" s="243">
        <v>46258</v>
      </c>
      <c r="B75" s="244"/>
      <c r="C75" s="244" t="s">
        <v>189</v>
      </c>
      <c r="D75" s="245"/>
      <c r="E75" s="245">
        <v>3</v>
      </c>
      <c r="F75" s="245"/>
      <c r="G75" s="245"/>
      <c r="H75" s="245">
        <v>100</v>
      </c>
      <c r="I75" s="244"/>
    </row>
    <row r="76" spans="1:9" x14ac:dyDescent="0.25">
      <c r="A76" s="234">
        <v>46259</v>
      </c>
      <c r="B76" s="235"/>
      <c r="C76" s="235" t="s">
        <v>188</v>
      </c>
      <c r="D76" s="236">
        <v>1</v>
      </c>
      <c r="E76" s="236"/>
      <c r="F76" s="236">
        <v>400</v>
      </c>
      <c r="G76" s="236">
        <v>270</v>
      </c>
      <c r="H76" s="236">
        <v>670</v>
      </c>
      <c r="I76" s="235"/>
    </row>
    <row r="77" spans="1:9" ht="15.75" thickBot="1" x14ac:dyDescent="0.3">
      <c r="A77" s="243">
        <v>46259</v>
      </c>
      <c r="B77" s="244"/>
      <c r="C77" s="244" t="s">
        <v>189</v>
      </c>
      <c r="D77" s="245">
        <v>1.5</v>
      </c>
      <c r="E77" s="245"/>
      <c r="F77" s="245">
        <v>220</v>
      </c>
      <c r="G77" s="245"/>
      <c r="H77" s="245">
        <v>330</v>
      </c>
      <c r="I77" s="244"/>
    </row>
    <row r="78" spans="1:9" x14ac:dyDescent="0.25">
      <c r="A78" s="237">
        <v>46263</v>
      </c>
      <c r="B78" s="238" t="s">
        <v>132</v>
      </c>
      <c r="C78" s="238" t="s">
        <v>133</v>
      </c>
      <c r="D78" s="239">
        <v>50</v>
      </c>
      <c r="E78" s="239"/>
      <c r="F78" s="239">
        <v>16</v>
      </c>
      <c r="G78" s="239">
        <v>100</v>
      </c>
      <c r="H78" s="239">
        <v>900</v>
      </c>
      <c r="I78" s="238"/>
    </row>
    <row r="79" spans="1:9" x14ac:dyDescent="0.25">
      <c r="A79" s="240">
        <v>46263</v>
      </c>
      <c r="B79" s="241"/>
      <c r="C79" s="241" t="s">
        <v>134</v>
      </c>
      <c r="D79" s="242">
        <v>44</v>
      </c>
      <c r="E79" s="242"/>
      <c r="F79" s="242">
        <v>34</v>
      </c>
      <c r="G79" s="242"/>
      <c r="H79" s="242">
        <v>1496</v>
      </c>
      <c r="I79" s="241"/>
    </row>
    <row r="80" spans="1:9" x14ac:dyDescent="0.25">
      <c r="A80" s="240">
        <v>46263</v>
      </c>
      <c r="B80" s="241"/>
      <c r="C80" s="241" t="s">
        <v>135</v>
      </c>
      <c r="D80" s="242">
        <v>5</v>
      </c>
      <c r="E80" s="242"/>
      <c r="F80" s="242">
        <v>150</v>
      </c>
      <c r="G80" s="242"/>
      <c r="H80" s="242">
        <v>750</v>
      </c>
      <c r="I80" s="241"/>
    </row>
    <row r="81" spans="1:9" x14ac:dyDescent="0.25">
      <c r="A81" s="231">
        <v>46263</v>
      </c>
      <c r="B81" s="232"/>
      <c r="C81" s="232" t="s">
        <v>136</v>
      </c>
      <c r="D81" s="233">
        <v>5</v>
      </c>
      <c r="E81" s="233"/>
      <c r="F81" s="233">
        <v>160</v>
      </c>
      <c r="G81" s="233"/>
      <c r="H81" s="233">
        <v>800</v>
      </c>
      <c r="I81" s="232"/>
    </row>
    <row r="82" spans="1:9" ht="15.75" thickBot="1" x14ac:dyDescent="0.3">
      <c r="A82" s="243">
        <v>46263</v>
      </c>
      <c r="B82" s="244" t="s">
        <v>175</v>
      </c>
      <c r="C82" s="244" t="s">
        <v>176</v>
      </c>
      <c r="D82" s="245"/>
      <c r="E82" s="245">
        <v>60</v>
      </c>
      <c r="F82" s="245">
        <v>6.35</v>
      </c>
      <c r="G82" s="245"/>
      <c r="H82" s="245">
        <v>381</v>
      </c>
      <c r="I82" s="244"/>
    </row>
    <row r="83" spans="1:9" x14ac:dyDescent="0.25">
      <c r="A83" s="237">
        <v>46265</v>
      </c>
      <c r="B83" s="238" t="s">
        <v>146</v>
      </c>
      <c r="C83" s="238" t="s">
        <v>147</v>
      </c>
      <c r="D83" s="239">
        <v>2</v>
      </c>
      <c r="E83" s="239"/>
      <c r="F83" s="239">
        <v>420</v>
      </c>
      <c r="G83" s="239">
        <v>200</v>
      </c>
      <c r="H83" s="239">
        <v>1040</v>
      </c>
      <c r="I83" s="238"/>
    </row>
    <row r="84" spans="1:9" x14ac:dyDescent="0.25">
      <c r="A84" s="240">
        <v>46265</v>
      </c>
      <c r="B84" s="241"/>
      <c r="C84" s="241" t="s">
        <v>211</v>
      </c>
      <c r="D84" s="242">
        <v>5</v>
      </c>
      <c r="E84" s="242"/>
      <c r="F84" s="242">
        <v>320</v>
      </c>
      <c r="G84" s="242"/>
      <c r="H84" s="242">
        <v>1600</v>
      </c>
      <c r="I84" s="241"/>
    </row>
    <row r="85" spans="1:9" x14ac:dyDescent="0.25">
      <c r="A85" s="240">
        <v>46265</v>
      </c>
      <c r="B85" s="241"/>
      <c r="C85" s="241" t="s">
        <v>213</v>
      </c>
      <c r="D85" s="242">
        <v>2</v>
      </c>
      <c r="E85" s="242"/>
      <c r="F85" s="242">
        <v>300</v>
      </c>
      <c r="G85" s="242"/>
      <c r="H85" s="242">
        <v>600</v>
      </c>
      <c r="I85" s="241"/>
    </row>
    <row r="86" spans="1:9" ht="17.25" thickBot="1" x14ac:dyDescent="0.35">
      <c r="A86" s="252" t="s">
        <v>228</v>
      </c>
      <c r="B86" s="252"/>
      <c r="C86" s="252"/>
      <c r="D86" s="252"/>
      <c r="E86" s="252"/>
      <c r="F86" s="252"/>
      <c r="G86" s="252"/>
      <c r="H86" s="253">
        <f>SUM(H4:H85)</f>
        <v>114242</v>
      </c>
      <c r="I86" s="252"/>
    </row>
    <row r="87" spans="1:9" ht="15.75" thickTop="1" x14ac:dyDescent="0.25"/>
    <row r="89" spans="1:9" ht="16.5" x14ac:dyDescent="0.3">
      <c r="A89" s="229" t="s">
        <v>474</v>
      </c>
      <c r="B89" s="229"/>
      <c r="C89" s="229"/>
      <c r="D89" s="229"/>
      <c r="E89" s="229"/>
      <c r="F89" s="229"/>
      <c r="G89" s="229"/>
      <c r="H89" s="229"/>
      <c r="I89" s="229"/>
    </row>
    <row r="90" spans="1:9" x14ac:dyDescent="0.25">
      <c r="A90" s="230" t="s">
        <v>70</v>
      </c>
      <c r="B90" s="230" t="s">
        <v>207</v>
      </c>
      <c r="C90" s="230" t="s">
        <v>208</v>
      </c>
      <c r="D90" s="230" t="s">
        <v>209</v>
      </c>
      <c r="E90" s="230" t="s">
        <v>210</v>
      </c>
      <c r="F90" s="230" t="s">
        <v>129</v>
      </c>
      <c r="G90" s="230" t="s">
        <v>130</v>
      </c>
      <c r="H90" s="230" t="s">
        <v>203</v>
      </c>
      <c r="I90" s="230" t="s">
        <v>185</v>
      </c>
    </row>
    <row r="91" spans="1:9" x14ac:dyDescent="0.25">
      <c r="A91" s="240">
        <v>46267</v>
      </c>
      <c r="B91" s="241"/>
      <c r="C91" s="241" t="s">
        <v>213</v>
      </c>
      <c r="D91" s="242">
        <v>4</v>
      </c>
      <c r="E91" s="242"/>
      <c r="F91" s="242">
        <v>300</v>
      </c>
      <c r="G91" s="242"/>
      <c r="H91" s="242">
        <v>1200</v>
      </c>
      <c r="I91" s="241"/>
    </row>
    <row r="92" spans="1:9" x14ac:dyDescent="0.25">
      <c r="A92" s="231">
        <v>46267</v>
      </c>
      <c r="B92" s="232"/>
      <c r="C92" s="232" t="s">
        <v>214</v>
      </c>
      <c r="D92" s="233">
        <v>5</v>
      </c>
      <c r="E92" s="233"/>
      <c r="F92" s="233">
        <v>240</v>
      </c>
      <c r="G92" s="233"/>
      <c r="H92" s="233">
        <v>1200</v>
      </c>
      <c r="I92" s="232"/>
    </row>
    <row r="93" spans="1:9" ht="15.75" thickBot="1" x14ac:dyDescent="0.3">
      <c r="A93" s="231">
        <v>46267</v>
      </c>
      <c r="B93" s="232"/>
      <c r="C93" s="232" t="s">
        <v>189</v>
      </c>
      <c r="D93" s="233">
        <v>3</v>
      </c>
      <c r="E93" s="233"/>
      <c r="F93" s="233">
        <v>290</v>
      </c>
      <c r="G93" s="233">
        <v>130</v>
      </c>
      <c r="H93" s="233">
        <v>1000</v>
      </c>
      <c r="I93" s="232"/>
    </row>
    <row r="94" spans="1:9" ht="15.75" thickBot="1" x14ac:dyDescent="0.3">
      <c r="A94" s="246">
        <v>46270</v>
      </c>
      <c r="B94" s="247"/>
      <c r="C94" s="247" t="s">
        <v>308</v>
      </c>
      <c r="D94" s="248"/>
      <c r="E94" s="248">
        <v>50</v>
      </c>
      <c r="F94" s="248">
        <v>55</v>
      </c>
      <c r="G94" s="248">
        <v>250</v>
      </c>
      <c r="H94" s="248">
        <v>3000</v>
      </c>
      <c r="I94" s="247"/>
    </row>
    <row r="95" spans="1:9" x14ac:dyDescent="0.25">
      <c r="A95" s="237">
        <v>46272</v>
      </c>
      <c r="B95" s="238"/>
      <c r="C95" s="238" t="s">
        <v>151</v>
      </c>
      <c r="D95" s="239">
        <v>3.6</v>
      </c>
      <c r="E95" s="239"/>
      <c r="F95" s="239">
        <v>270</v>
      </c>
      <c r="G95" s="239"/>
      <c r="H95" s="239">
        <v>972</v>
      </c>
      <c r="I95" s="238"/>
    </row>
    <row r="96" spans="1:9" x14ac:dyDescent="0.25">
      <c r="A96" s="240">
        <v>46272</v>
      </c>
      <c r="B96" s="241"/>
      <c r="C96" s="241" t="s">
        <v>176</v>
      </c>
      <c r="D96" s="242"/>
      <c r="E96" s="242">
        <v>60</v>
      </c>
      <c r="F96" s="242">
        <v>6.33</v>
      </c>
      <c r="G96" s="242">
        <v>148.19999999999999</v>
      </c>
      <c r="H96" s="242">
        <v>528</v>
      </c>
      <c r="I96" s="241"/>
    </row>
    <row r="97" spans="1:9" ht="17.25" thickBot="1" x14ac:dyDescent="0.35">
      <c r="A97" s="252" t="s">
        <v>228</v>
      </c>
      <c r="B97" s="252"/>
      <c r="C97" s="252"/>
      <c r="D97" s="252"/>
      <c r="E97" s="252"/>
      <c r="F97" s="252"/>
      <c r="G97" s="252"/>
      <c r="H97" s="253">
        <f>SUM(H91:H96)</f>
        <v>7900</v>
      </c>
      <c r="I97" s="252"/>
    </row>
    <row r="98" spans="1:9" ht="15.75" thickTop="1" x14ac:dyDescent="0.25"/>
    <row r="100" spans="1:9" ht="16.5" x14ac:dyDescent="0.3">
      <c r="A100" s="229" t="s">
        <v>504</v>
      </c>
      <c r="B100" s="229"/>
      <c r="C100" s="229"/>
      <c r="D100" s="229"/>
      <c r="E100" s="229"/>
      <c r="F100" s="229"/>
      <c r="G100" s="229"/>
      <c r="H100" s="229"/>
      <c r="I100" s="229"/>
    </row>
    <row r="101" spans="1:9" x14ac:dyDescent="0.25">
      <c r="A101" s="230" t="s">
        <v>70</v>
      </c>
      <c r="B101" s="230" t="s">
        <v>207</v>
      </c>
      <c r="C101" s="230" t="s">
        <v>208</v>
      </c>
      <c r="D101" s="230" t="s">
        <v>209</v>
      </c>
      <c r="E101" s="230" t="s">
        <v>210</v>
      </c>
      <c r="F101" s="230" t="s">
        <v>129</v>
      </c>
      <c r="G101" s="230" t="s">
        <v>130</v>
      </c>
      <c r="H101" s="230" t="s">
        <v>203</v>
      </c>
      <c r="I101" s="230" t="s">
        <v>185</v>
      </c>
    </row>
    <row r="102" spans="1:9" ht="15.75" thickBot="1" x14ac:dyDescent="0.3">
      <c r="A102" s="243">
        <v>46306</v>
      </c>
      <c r="B102" s="244" t="s">
        <v>146</v>
      </c>
      <c r="C102" s="244" t="s">
        <v>211</v>
      </c>
      <c r="D102" s="245">
        <v>7</v>
      </c>
      <c r="E102" s="245"/>
      <c r="F102" s="245">
        <v>320</v>
      </c>
      <c r="G102" s="245"/>
      <c r="H102" s="245">
        <v>2240</v>
      </c>
      <c r="I102" s="244"/>
    </row>
    <row r="103" spans="1:9" x14ac:dyDescent="0.25">
      <c r="A103" s="234">
        <v>46307</v>
      </c>
      <c r="B103" s="235" t="s">
        <v>146</v>
      </c>
      <c r="C103" s="235"/>
      <c r="D103" s="236"/>
      <c r="E103" s="236"/>
      <c r="F103" s="236"/>
      <c r="G103" s="236"/>
      <c r="H103" s="236"/>
      <c r="I103" s="235"/>
    </row>
    <row r="104" spans="1:9" ht="15.75" thickBot="1" x14ac:dyDescent="0.3">
      <c r="A104" s="243">
        <v>46307</v>
      </c>
      <c r="B104" s="244"/>
      <c r="C104" s="244" t="s">
        <v>195</v>
      </c>
      <c r="D104" s="245">
        <v>5</v>
      </c>
      <c r="E104" s="245"/>
      <c r="F104" s="245">
        <v>720</v>
      </c>
      <c r="G104" s="245"/>
      <c r="H104" s="245">
        <v>3600</v>
      </c>
      <c r="I104" s="244"/>
    </row>
    <row r="105" spans="1:9" x14ac:dyDescent="0.25">
      <c r="A105" s="234">
        <v>46308</v>
      </c>
      <c r="B105" s="235" t="s">
        <v>146</v>
      </c>
      <c r="C105" s="235"/>
      <c r="D105" s="236"/>
      <c r="E105" s="236"/>
      <c r="F105" s="236"/>
      <c r="G105" s="236"/>
      <c r="H105" s="236"/>
      <c r="I105" s="235"/>
    </row>
    <row r="106" spans="1:9" ht="15.75" thickBot="1" x14ac:dyDescent="0.3">
      <c r="A106" s="231">
        <v>46308</v>
      </c>
      <c r="B106" s="232"/>
      <c r="C106" s="232" t="s">
        <v>195</v>
      </c>
      <c r="D106" s="233">
        <v>5</v>
      </c>
      <c r="E106" s="233"/>
      <c r="F106" s="233">
        <v>720</v>
      </c>
      <c r="G106" s="233"/>
      <c r="H106" s="233">
        <v>3600</v>
      </c>
      <c r="I106" s="232"/>
    </row>
    <row r="107" spans="1:9" ht="15.75" thickBot="1" x14ac:dyDescent="0.3">
      <c r="A107" s="246">
        <v>46309</v>
      </c>
      <c r="B107" s="247"/>
      <c r="C107" s="247" t="s">
        <v>195</v>
      </c>
      <c r="D107" s="248">
        <v>5</v>
      </c>
      <c r="E107" s="248"/>
      <c r="F107" s="248">
        <v>720</v>
      </c>
      <c r="G107" s="248"/>
      <c r="H107" s="248">
        <v>3600</v>
      </c>
      <c r="I107" s="247"/>
    </row>
    <row r="108" spans="1:9" x14ac:dyDescent="0.25">
      <c r="A108" s="237">
        <v>46311</v>
      </c>
      <c r="B108" s="238" t="s">
        <v>303</v>
      </c>
      <c r="C108" s="238" t="s">
        <v>275</v>
      </c>
      <c r="D108" s="239"/>
      <c r="E108" s="239"/>
      <c r="F108" s="239"/>
      <c r="G108" s="239"/>
      <c r="H108" s="239">
        <v>2380</v>
      </c>
      <c r="I108" s="238"/>
    </row>
    <row r="109" spans="1:9" x14ac:dyDescent="0.25">
      <c r="A109" s="231">
        <v>46311</v>
      </c>
      <c r="B109" s="232" t="s">
        <v>146</v>
      </c>
      <c r="C109" s="232" t="s">
        <v>211</v>
      </c>
      <c r="D109" s="233">
        <v>7</v>
      </c>
      <c r="E109" s="233"/>
      <c r="F109" s="233">
        <v>320</v>
      </c>
      <c r="G109" s="233"/>
      <c r="H109" s="233">
        <v>2240</v>
      </c>
      <c r="I109" s="232"/>
    </row>
    <row r="110" spans="1:9" ht="15.75" thickBot="1" x14ac:dyDescent="0.3">
      <c r="A110" s="243">
        <v>46311</v>
      </c>
      <c r="B110" s="244"/>
      <c r="C110" s="244" t="s">
        <v>176</v>
      </c>
      <c r="D110" s="245">
        <v>60</v>
      </c>
      <c r="E110" s="245"/>
      <c r="F110" s="245">
        <v>6.33</v>
      </c>
      <c r="G110" s="245"/>
      <c r="H110" s="245">
        <v>379.8</v>
      </c>
      <c r="I110" s="244"/>
    </row>
    <row r="111" spans="1:9" x14ac:dyDescent="0.25">
      <c r="A111" s="237">
        <v>46314</v>
      </c>
      <c r="B111" s="238" t="s">
        <v>303</v>
      </c>
      <c r="C111" s="238" t="s">
        <v>275</v>
      </c>
      <c r="D111" s="239"/>
      <c r="E111" s="239"/>
      <c r="F111" s="239"/>
      <c r="G111" s="239"/>
      <c r="H111" s="239">
        <v>1300</v>
      </c>
      <c r="I111" s="238"/>
    </row>
    <row r="112" spans="1:9" x14ac:dyDescent="0.25">
      <c r="A112" s="240">
        <v>46314</v>
      </c>
      <c r="B112" s="241"/>
      <c r="C112" s="241" t="s">
        <v>147</v>
      </c>
      <c r="D112" s="242">
        <v>2.5</v>
      </c>
      <c r="E112" s="242"/>
      <c r="F112" s="242">
        <v>450</v>
      </c>
      <c r="G112" s="242"/>
      <c r="H112" s="242">
        <v>1125</v>
      </c>
      <c r="I112" s="241"/>
    </row>
    <row r="113" spans="1:9" ht="17.25" thickBot="1" x14ac:dyDescent="0.35">
      <c r="A113" s="252" t="s">
        <v>228</v>
      </c>
      <c r="B113" s="252"/>
      <c r="C113" s="252"/>
      <c r="D113" s="252"/>
      <c r="E113" s="252"/>
      <c r="F113" s="252"/>
      <c r="G113" s="252"/>
      <c r="H113" s="253">
        <f>SUM(H102:H112)</f>
        <v>20464.8</v>
      </c>
      <c r="I113" s="252"/>
    </row>
    <row r="114" spans="1:9" ht="15.75" thickTop="1" x14ac:dyDescent="0.2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D2"/>
  <sheetViews>
    <sheetView workbookViewId="0">
      <selection activeCell="K14" sqref="K14"/>
    </sheetView>
  </sheetViews>
  <sheetFormatPr defaultColWidth="8.85546875" defaultRowHeight="15" x14ac:dyDescent="0.25"/>
  <cols>
    <col min="1" max="1" width="15.7109375" style="14" customWidth="1"/>
    <col min="2" max="2" width="25.7109375" customWidth="1"/>
    <col min="3" max="3" width="35.7109375" customWidth="1"/>
    <col min="4" max="4" width="15.7109375" style="6" customWidth="1"/>
  </cols>
  <sheetData>
    <row r="1" spans="1:4" x14ac:dyDescent="0.25">
      <c r="A1" s="14" t="s">
        <v>70</v>
      </c>
      <c r="B1" t="s">
        <v>304</v>
      </c>
      <c r="C1" t="s">
        <v>305</v>
      </c>
      <c r="D1" s="6" t="s">
        <v>73</v>
      </c>
    </row>
    <row r="2" spans="1:4" x14ac:dyDescent="0.25">
      <c r="A2" s="14">
        <v>46268</v>
      </c>
      <c r="B2" t="s">
        <v>255</v>
      </c>
      <c r="C2" t="s">
        <v>311</v>
      </c>
      <c r="D2" s="6">
        <v>1100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4"/>
  <dimension ref="A1:L55"/>
  <sheetViews>
    <sheetView topLeftCell="D34" workbookViewId="0">
      <selection activeCell="L55" sqref="L55"/>
    </sheetView>
  </sheetViews>
  <sheetFormatPr defaultColWidth="8.85546875" defaultRowHeight="15" x14ac:dyDescent="0.25"/>
  <cols>
    <col min="1" max="1" width="12.7109375" customWidth="1"/>
    <col min="2" max="2" width="11.85546875" style="14" bestFit="1" customWidth="1"/>
    <col min="3" max="3" width="15.7109375" customWidth="1"/>
    <col min="4" max="4" width="20.7109375" customWidth="1"/>
    <col min="5" max="5" width="9.42578125" style="6" bestFit="1" customWidth="1"/>
    <col min="6" max="6" width="9.42578125" bestFit="1" customWidth="1"/>
    <col min="7" max="7" width="3.7109375" customWidth="1"/>
    <col min="8" max="8" width="12.7109375" customWidth="1"/>
    <col min="9" max="9" width="17.28515625" style="14" customWidth="1"/>
    <col min="10" max="10" width="15.7109375" customWidth="1"/>
    <col min="11" max="11" width="35.7109375" customWidth="1"/>
    <col min="12" max="12" width="9.42578125" style="6" bestFit="1" customWidth="1"/>
  </cols>
  <sheetData>
    <row r="1" spans="1:12" x14ac:dyDescent="0.25">
      <c r="A1" s="17" t="s">
        <v>315</v>
      </c>
      <c r="B1" s="19" t="s">
        <v>70</v>
      </c>
      <c r="C1" s="17" t="s">
        <v>317</v>
      </c>
      <c r="D1" s="17" t="s">
        <v>305</v>
      </c>
      <c r="E1" s="22" t="s">
        <v>73</v>
      </c>
      <c r="F1" s="17" t="s">
        <v>322</v>
      </c>
      <c r="H1" s="18" t="s">
        <v>316</v>
      </c>
      <c r="I1" s="21" t="s">
        <v>70</v>
      </c>
      <c r="J1" s="18" t="s">
        <v>304</v>
      </c>
      <c r="K1" s="18" t="s">
        <v>305</v>
      </c>
      <c r="L1" s="24" t="s">
        <v>73</v>
      </c>
    </row>
    <row r="2" spans="1:12" x14ac:dyDescent="0.25">
      <c r="A2" s="16"/>
      <c r="B2" s="20">
        <v>46272</v>
      </c>
      <c r="C2" s="16" t="s">
        <v>68</v>
      </c>
      <c r="D2" s="16" t="s">
        <v>318</v>
      </c>
      <c r="E2" s="23">
        <v>34500</v>
      </c>
      <c r="F2" s="16" t="s">
        <v>320</v>
      </c>
      <c r="H2" s="16"/>
      <c r="I2" s="20">
        <v>46268</v>
      </c>
      <c r="J2" s="16" t="s">
        <v>255</v>
      </c>
      <c r="K2" s="16" t="s">
        <v>335</v>
      </c>
      <c r="L2" s="23">
        <v>600</v>
      </c>
    </row>
    <row r="3" spans="1:12" x14ac:dyDescent="0.25">
      <c r="A3" s="16"/>
      <c r="B3" s="20">
        <v>46273</v>
      </c>
      <c r="C3" s="16" t="s">
        <v>217</v>
      </c>
      <c r="D3" s="16" t="s">
        <v>319</v>
      </c>
      <c r="E3" s="23">
        <v>25000</v>
      </c>
      <c r="F3" s="16" t="s">
        <v>320</v>
      </c>
      <c r="H3" s="16"/>
      <c r="I3" s="20">
        <v>46268</v>
      </c>
      <c r="J3" s="16"/>
      <c r="K3" s="16" t="s">
        <v>336</v>
      </c>
      <c r="L3" s="23">
        <v>500</v>
      </c>
    </row>
    <row r="4" spans="1:12" x14ac:dyDescent="0.25">
      <c r="A4" s="16"/>
      <c r="B4" s="20"/>
      <c r="C4" s="16"/>
      <c r="D4" s="16"/>
      <c r="E4" s="23"/>
      <c r="F4" s="16"/>
      <c r="H4" s="16"/>
      <c r="I4" s="20">
        <v>46272</v>
      </c>
      <c r="J4" s="16" t="s">
        <v>312</v>
      </c>
      <c r="K4" s="16" t="s">
        <v>337</v>
      </c>
      <c r="L4" s="23">
        <v>24350</v>
      </c>
    </row>
    <row r="5" spans="1:12" x14ac:dyDescent="0.25">
      <c r="A5" s="16"/>
      <c r="B5" s="20"/>
      <c r="C5" s="16"/>
      <c r="D5" s="16"/>
      <c r="E5" s="23"/>
      <c r="F5" s="16"/>
      <c r="H5" s="16"/>
      <c r="I5" s="20">
        <v>46272</v>
      </c>
      <c r="J5" s="16" t="s">
        <v>310</v>
      </c>
      <c r="K5" s="16" t="s">
        <v>338</v>
      </c>
      <c r="L5" s="23">
        <v>9600</v>
      </c>
    </row>
    <row r="6" spans="1:12" x14ac:dyDescent="0.25">
      <c r="A6" s="16"/>
      <c r="B6" s="20"/>
      <c r="C6" s="16"/>
      <c r="D6" s="16"/>
      <c r="E6" s="23"/>
      <c r="F6" s="16"/>
      <c r="H6" s="16"/>
      <c r="I6" s="20">
        <v>46269</v>
      </c>
      <c r="J6" s="16" t="s">
        <v>217</v>
      </c>
      <c r="K6" s="16" t="s">
        <v>339</v>
      </c>
      <c r="L6" s="23">
        <v>1500</v>
      </c>
    </row>
    <row r="7" spans="1:12" x14ac:dyDescent="0.25">
      <c r="A7" s="16"/>
      <c r="B7" s="20"/>
      <c r="C7" s="16"/>
      <c r="D7" s="16"/>
      <c r="E7" s="23"/>
      <c r="F7" s="16"/>
      <c r="H7" s="16"/>
      <c r="I7" s="20">
        <v>46270</v>
      </c>
      <c r="J7" s="16" t="s">
        <v>255</v>
      </c>
      <c r="K7" s="16" t="s">
        <v>340</v>
      </c>
      <c r="L7" s="23">
        <v>3000</v>
      </c>
    </row>
    <row r="8" spans="1:12" x14ac:dyDescent="0.25">
      <c r="A8" s="16"/>
      <c r="B8" s="20"/>
      <c r="C8" s="16"/>
      <c r="D8" s="16"/>
      <c r="E8" s="23"/>
      <c r="F8" s="16"/>
      <c r="H8" s="16"/>
      <c r="I8" s="20">
        <v>46272</v>
      </c>
      <c r="J8" s="16" t="s">
        <v>341</v>
      </c>
      <c r="K8" s="16" t="s">
        <v>342</v>
      </c>
      <c r="L8" s="23">
        <v>3000</v>
      </c>
    </row>
    <row r="9" spans="1:12" x14ac:dyDescent="0.25">
      <c r="A9" s="16"/>
      <c r="B9" s="20"/>
      <c r="C9" s="16"/>
      <c r="D9" s="16"/>
      <c r="E9" s="23"/>
      <c r="F9" s="16"/>
      <c r="H9" s="16"/>
      <c r="I9" s="20">
        <v>46272</v>
      </c>
      <c r="J9" s="16" t="s">
        <v>255</v>
      </c>
      <c r="K9" s="16" t="s">
        <v>343</v>
      </c>
      <c r="L9" s="23">
        <v>1500</v>
      </c>
    </row>
    <row r="10" spans="1:12" x14ac:dyDescent="0.25">
      <c r="A10" s="16"/>
      <c r="B10" s="20"/>
      <c r="C10" s="16"/>
      <c r="D10" s="16"/>
      <c r="E10" s="23"/>
      <c r="F10" s="16"/>
      <c r="H10" s="16"/>
      <c r="I10" s="20">
        <v>46274</v>
      </c>
      <c r="J10" s="16" t="s">
        <v>312</v>
      </c>
      <c r="K10" s="16" t="s">
        <v>344</v>
      </c>
      <c r="L10" s="23">
        <v>13450</v>
      </c>
    </row>
    <row r="11" spans="1:12" x14ac:dyDescent="0.25">
      <c r="I11" s="14">
        <v>46274</v>
      </c>
      <c r="J11" s="27" t="s">
        <v>217</v>
      </c>
      <c r="K11" s="27" t="s">
        <v>345</v>
      </c>
      <c r="L11" s="6">
        <v>800</v>
      </c>
    </row>
    <row r="12" spans="1:12" x14ac:dyDescent="0.25">
      <c r="I12" s="14">
        <v>46275</v>
      </c>
      <c r="J12" s="27" t="s">
        <v>247</v>
      </c>
      <c r="K12" s="27" t="s">
        <v>346</v>
      </c>
      <c r="L12" s="6">
        <v>6000</v>
      </c>
    </row>
    <row r="13" spans="1:12" x14ac:dyDescent="0.25">
      <c r="I13" s="14">
        <v>46284</v>
      </c>
      <c r="J13" s="27" t="s">
        <v>341</v>
      </c>
      <c r="K13" s="27" t="s">
        <v>342</v>
      </c>
      <c r="L13" s="6">
        <v>1500</v>
      </c>
    </row>
    <row r="14" spans="1:12" x14ac:dyDescent="0.25">
      <c r="I14" s="14">
        <v>46279</v>
      </c>
      <c r="J14" s="27" t="s">
        <v>217</v>
      </c>
      <c r="K14" s="27" t="s">
        <v>348</v>
      </c>
      <c r="L14" s="6">
        <v>2500</v>
      </c>
    </row>
    <row r="15" spans="1:12" x14ac:dyDescent="0.25">
      <c r="I15" s="14">
        <v>46279</v>
      </c>
      <c r="J15" s="27" t="s">
        <v>349</v>
      </c>
      <c r="K15" s="27" t="s">
        <v>350</v>
      </c>
      <c r="L15" s="6">
        <v>4500</v>
      </c>
    </row>
    <row r="16" spans="1:12" x14ac:dyDescent="0.25">
      <c r="I16" s="14">
        <v>46280</v>
      </c>
      <c r="J16" s="27" t="s">
        <v>97</v>
      </c>
      <c r="K16" s="27" t="s">
        <v>453</v>
      </c>
      <c r="L16" s="6">
        <v>250</v>
      </c>
    </row>
    <row r="17" spans="9:12" x14ac:dyDescent="0.25">
      <c r="I17" s="14">
        <v>46280</v>
      </c>
      <c r="J17" s="27" t="s">
        <v>255</v>
      </c>
      <c r="K17" s="27" t="s">
        <v>454</v>
      </c>
      <c r="L17" s="6">
        <v>350</v>
      </c>
    </row>
    <row r="18" spans="9:12" x14ac:dyDescent="0.25">
      <c r="I18" s="14">
        <v>46280</v>
      </c>
      <c r="J18" s="27" t="s">
        <v>255</v>
      </c>
      <c r="K18" s="27" t="s">
        <v>455</v>
      </c>
      <c r="L18" s="6">
        <v>500</v>
      </c>
    </row>
    <row r="19" spans="9:12" x14ac:dyDescent="0.25">
      <c r="I19" s="14">
        <v>46281</v>
      </c>
      <c r="J19" s="27" t="s">
        <v>456</v>
      </c>
      <c r="K19" s="27" t="s">
        <v>457</v>
      </c>
      <c r="L19" s="6">
        <v>2000</v>
      </c>
    </row>
    <row r="20" spans="9:12" x14ac:dyDescent="0.25">
      <c r="I20" s="14">
        <v>46282</v>
      </c>
      <c r="J20" s="27" t="s">
        <v>255</v>
      </c>
      <c r="K20" t="s">
        <v>131</v>
      </c>
      <c r="L20" s="6">
        <v>400</v>
      </c>
    </row>
    <row r="21" spans="9:12" x14ac:dyDescent="0.25">
      <c r="I21" s="14">
        <v>46282</v>
      </c>
      <c r="J21" s="27" t="s">
        <v>458</v>
      </c>
      <c r="K21" t="s">
        <v>459</v>
      </c>
      <c r="L21" s="6">
        <v>1600</v>
      </c>
    </row>
    <row r="22" spans="9:12" x14ac:dyDescent="0.25">
      <c r="I22" s="14">
        <v>46284</v>
      </c>
      <c r="J22" s="27" t="s">
        <v>460</v>
      </c>
      <c r="K22" t="s">
        <v>177</v>
      </c>
      <c r="L22" s="6">
        <v>20000</v>
      </c>
    </row>
    <row r="23" spans="9:12" x14ac:dyDescent="0.25">
      <c r="I23" s="14">
        <v>46284</v>
      </c>
      <c r="J23" s="27" t="s">
        <v>461</v>
      </c>
      <c r="K23" t="s">
        <v>462</v>
      </c>
      <c r="L23" s="6">
        <v>1000</v>
      </c>
    </row>
    <row r="24" spans="9:12" x14ac:dyDescent="0.25">
      <c r="I24" s="14">
        <v>46285</v>
      </c>
      <c r="J24" s="27" t="s">
        <v>463</v>
      </c>
      <c r="K24" t="s">
        <v>464</v>
      </c>
      <c r="L24" s="6">
        <v>1000</v>
      </c>
    </row>
    <row r="25" spans="9:12" x14ac:dyDescent="0.25">
      <c r="I25" s="14">
        <v>46286</v>
      </c>
      <c r="J25" s="27" t="s">
        <v>255</v>
      </c>
      <c r="K25" t="s">
        <v>131</v>
      </c>
      <c r="L25" s="6">
        <v>2300</v>
      </c>
    </row>
    <row r="26" spans="9:12" x14ac:dyDescent="0.25">
      <c r="I26" s="14">
        <v>46287</v>
      </c>
      <c r="J26" s="27" t="s">
        <v>465</v>
      </c>
      <c r="K26" t="s">
        <v>466</v>
      </c>
      <c r="L26" s="6">
        <v>3600</v>
      </c>
    </row>
    <row r="27" spans="9:12" x14ac:dyDescent="0.25">
      <c r="I27" s="14">
        <v>46287</v>
      </c>
      <c r="J27" s="27" t="s">
        <v>467</v>
      </c>
      <c r="K27" t="s">
        <v>466</v>
      </c>
      <c r="L27" s="6">
        <v>300</v>
      </c>
    </row>
    <row r="28" spans="9:12" x14ac:dyDescent="0.25">
      <c r="I28" s="14">
        <v>46290</v>
      </c>
      <c r="J28" s="27" t="s">
        <v>469</v>
      </c>
      <c r="K28" t="s">
        <v>470</v>
      </c>
      <c r="L28" s="6">
        <v>500</v>
      </c>
    </row>
    <row r="29" spans="9:12" x14ac:dyDescent="0.25">
      <c r="I29" s="14">
        <v>46292</v>
      </c>
      <c r="J29" s="27" t="s">
        <v>255</v>
      </c>
      <c r="K29" t="s">
        <v>471</v>
      </c>
      <c r="L29" s="6">
        <v>8500</v>
      </c>
    </row>
    <row r="30" spans="9:12" x14ac:dyDescent="0.25">
      <c r="I30" s="14">
        <v>46295</v>
      </c>
      <c r="J30" s="27" t="s">
        <v>255</v>
      </c>
      <c r="K30" t="s">
        <v>472</v>
      </c>
      <c r="L30" s="6">
        <v>3300</v>
      </c>
    </row>
    <row r="31" spans="9:12" x14ac:dyDescent="0.25">
      <c r="I31" s="14">
        <v>46295</v>
      </c>
      <c r="J31" s="27" t="s">
        <v>217</v>
      </c>
      <c r="K31" t="s">
        <v>339</v>
      </c>
      <c r="L31" s="6">
        <v>1000</v>
      </c>
    </row>
    <row r="32" spans="9:12" x14ac:dyDescent="0.25">
      <c r="L32" s="6">
        <f>SUM(L2:L31)</f>
        <v>119400</v>
      </c>
    </row>
    <row r="34" spans="8:12" ht="28.5" x14ac:dyDescent="0.45">
      <c r="I34" s="94" t="s">
        <v>476</v>
      </c>
    </row>
    <row r="36" spans="8:12" x14ac:dyDescent="0.25">
      <c r="H36" s="18" t="s">
        <v>316</v>
      </c>
      <c r="I36" s="21" t="s">
        <v>70</v>
      </c>
      <c r="J36" s="18" t="s">
        <v>304</v>
      </c>
      <c r="K36" s="18" t="s">
        <v>305</v>
      </c>
      <c r="L36" s="24" t="s">
        <v>73</v>
      </c>
    </row>
    <row r="37" spans="8:12" x14ac:dyDescent="0.25">
      <c r="I37" s="14">
        <v>46299</v>
      </c>
      <c r="J37" t="s">
        <v>477</v>
      </c>
      <c r="K37" t="s">
        <v>478</v>
      </c>
      <c r="L37" s="6">
        <v>5000</v>
      </c>
    </row>
    <row r="38" spans="8:12" x14ac:dyDescent="0.25">
      <c r="I38" s="14">
        <v>46300</v>
      </c>
      <c r="J38" t="s">
        <v>97</v>
      </c>
      <c r="K38" t="s">
        <v>479</v>
      </c>
      <c r="L38" s="6">
        <v>350</v>
      </c>
    </row>
    <row r="39" spans="8:12" x14ac:dyDescent="0.25">
      <c r="I39" s="14">
        <v>46301</v>
      </c>
      <c r="J39" t="s">
        <v>255</v>
      </c>
      <c r="K39" t="s">
        <v>480</v>
      </c>
      <c r="L39" s="6">
        <v>2100</v>
      </c>
    </row>
    <row r="40" spans="8:12" x14ac:dyDescent="0.25">
      <c r="I40" s="14">
        <v>46304</v>
      </c>
      <c r="J40" t="s">
        <v>481</v>
      </c>
      <c r="K40" t="s">
        <v>482</v>
      </c>
      <c r="L40" s="6">
        <v>10000</v>
      </c>
    </row>
    <row r="41" spans="8:12" x14ac:dyDescent="0.25">
      <c r="I41" s="14">
        <v>46305</v>
      </c>
      <c r="J41" t="s">
        <v>481</v>
      </c>
      <c r="K41" t="s">
        <v>482</v>
      </c>
      <c r="L41" s="6">
        <v>10000</v>
      </c>
    </row>
    <row r="42" spans="8:12" x14ac:dyDescent="0.25">
      <c r="I42" s="14">
        <v>46303</v>
      </c>
      <c r="J42" t="s">
        <v>483</v>
      </c>
      <c r="K42" t="s">
        <v>484</v>
      </c>
      <c r="L42" s="6">
        <v>5000</v>
      </c>
    </row>
    <row r="43" spans="8:12" x14ac:dyDescent="0.25">
      <c r="I43" s="14">
        <v>46303</v>
      </c>
      <c r="J43" t="s">
        <v>485</v>
      </c>
      <c r="K43" t="s">
        <v>486</v>
      </c>
      <c r="L43" s="6">
        <v>5000</v>
      </c>
    </row>
    <row r="44" spans="8:12" x14ac:dyDescent="0.25">
      <c r="I44" s="14">
        <v>46305</v>
      </c>
      <c r="J44" t="s">
        <v>217</v>
      </c>
      <c r="K44" t="s">
        <v>487</v>
      </c>
      <c r="L44" s="6">
        <v>5000</v>
      </c>
    </row>
    <row r="45" spans="8:12" x14ac:dyDescent="0.25">
      <c r="I45" s="14">
        <v>46306</v>
      </c>
      <c r="J45" t="s">
        <v>310</v>
      </c>
      <c r="K45" t="s">
        <v>488</v>
      </c>
      <c r="L45" s="6">
        <v>6000</v>
      </c>
    </row>
    <row r="46" spans="8:12" x14ac:dyDescent="0.25">
      <c r="I46" s="14">
        <v>46310</v>
      </c>
      <c r="J46" t="s">
        <v>113</v>
      </c>
      <c r="K46" t="s">
        <v>488</v>
      </c>
      <c r="L46" s="6">
        <v>26000</v>
      </c>
    </row>
    <row r="47" spans="8:12" x14ac:dyDescent="0.25">
      <c r="I47" s="14">
        <v>46310</v>
      </c>
      <c r="J47" t="s">
        <v>489</v>
      </c>
      <c r="K47" t="s">
        <v>490</v>
      </c>
      <c r="L47" s="6">
        <v>5000</v>
      </c>
    </row>
    <row r="48" spans="8:12" x14ac:dyDescent="0.25">
      <c r="I48" s="14">
        <v>46316</v>
      </c>
      <c r="J48" t="s">
        <v>491</v>
      </c>
      <c r="K48" t="s">
        <v>492</v>
      </c>
      <c r="L48" s="6">
        <v>600</v>
      </c>
    </row>
    <row r="49" spans="9:12" x14ac:dyDescent="0.25">
      <c r="I49" s="14">
        <v>46318</v>
      </c>
      <c r="J49" t="s">
        <v>493</v>
      </c>
      <c r="K49" t="s">
        <v>260</v>
      </c>
      <c r="L49" s="6">
        <v>8000</v>
      </c>
    </row>
    <row r="50" spans="9:12" x14ac:dyDescent="0.25">
      <c r="I50" s="14">
        <v>46310</v>
      </c>
      <c r="J50" t="s">
        <v>495</v>
      </c>
      <c r="K50" t="s">
        <v>494</v>
      </c>
      <c r="L50" s="6">
        <v>300</v>
      </c>
    </row>
    <row r="51" spans="9:12" x14ac:dyDescent="0.25">
      <c r="I51" s="14">
        <v>46307</v>
      </c>
      <c r="J51" t="s">
        <v>495</v>
      </c>
      <c r="K51" t="s">
        <v>496</v>
      </c>
      <c r="L51" s="6">
        <v>400</v>
      </c>
    </row>
    <row r="52" spans="9:12" x14ac:dyDescent="0.25">
      <c r="I52" s="14">
        <v>46301</v>
      </c>
      <c r="J52" t="s">
        <v>217</v>
      </c>
      <c r="K52" t="s">
        <v>497</v>
      </c>
      <c r="L52" s="6">
        <v>600</v>
      </c>
    </row>
    <row r="53" spans="9:12" x14ac:dyDescent="0.25">
      <c r="I53" s="14">
        <v>46303</v>
      </c>
      <c r="J53" t="s">
        <v>217</v>
      </c>
      <c r="K53" t="s">
        <v>498</v>
      </c>
      <c r="L53" s="6">
        <v>4000</v>
      </c>
    </row>
    <row r="54" spans="9:12" x14ac:dyDescent="0.25">
      <c r="I54" s="14">
        <v>46307</v>
      </c>
      <c r="J54" t="s">
        <v>499</v>
      </c>
      <c r="K54" t="s">
        <v>500</v>
      </c>
      <c r="L54" s="6">
        <v>4000</v>
      </c>
    </row>
    <row r="55" spans="9:12" x14ac:dyDescent="0.25">
      <c r="L55" s="6">
        <f>SUM(L37:L54)</f>
        <v>97350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H7"/>
  <sheetViews>
    <sheetView zoomScale="160" zoomScaleNormal="160" workbookViewId="0">
      <selection activeCell="D9" sqref="D9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46248</v>
      </c>
      <c r="B2" t="s">
        <v>239</v>
      </c>
      <c r="C2" t="s">
        <v>183</v>
      </c>
      <c r="D2" t="s">
        <v>62</v>
      </c>
      <c r="E2">
        <v>35000</v>
      </c>
      <c r="F2">
        <v>35000</v>
      </c>
      <c r="G2" t="str">
        <f>VLOOKUP("RANJAN*", todays_rent_data!B:F, 5, FALSE)</f>
        <v>GRP 2</v>
      </c>
      <c r="H2">
        <f>E2-F2</f>
        <v>0</v>
      </c>
    </row>
    <row r="3" spans="1:8" x14ac:dyDescent="0.25">
      <c r="A3" s="2">
        <v>46260</v>
      </c>
      <c r="B3" t="s">
        <v>263</v>
      </c>
      <c r="C3" t="s">
        <v>183</v>
      </c>
      <c r="D3" t="s">
        <v>62</v>
      </c>
      <c r="E3">
        <v>27500</v>
      </c>
      <c r="F3">
        <v>27500</v>
      </c>
      <c r="G3" t="s">
        <v>64</v>
      </c>
      <c r="H3">
        <f>E3-F3</f>
        <v>0</v>
      </c>
    </row>
    <row r="4" spans="1:8" x14ac:dyDescent="0.25">
      <c r="A4" s="2">
        <v>46281</v>
      </c>
      <c r="B4" t="s">
        <v>323</v>
      </c>
      <c r="C4" t="s">
        <v>225</v>
      </c>
      <c r="D4" t="s">
        <v>62</v>
      </c>
      <c r="E4">
        <v>35000</v>
      </c>
      <c r="F4">
        <v>35000</v>
      </c>
      <c r="G4" t="s">
        <v>31</v>
      </c>
      <c r="H4">
        <v>0</v>
      </c>
    </row>
    <row r="5" spans="1:8" x14ac:dyDescent="0.25">
      <c r="A5" s="2">
        <v>46295</v>
      </c>
      <c r="B5" t="s">
        <v>241</v>
      </c>
      <c r="C5" t="s">
        <v>225</v>
      </c>
      <c r="D5" t="s">
        <v>62</v>
      </c>
      <c r="E5">
        <v>27500</v>
      </c>
      <c r="F5">
        <v>27500</v>
      </c>
      <c r="G5" t="s">
        <v>64</v>
      </c>
      <c r="H5">
        <v>0</v>
      </c>
    </row>
    <row r="6" spans="1:8" x14ac:dyDescent="0.25">
      <c r="A6" s="2">
        <v>46308</v>
      </c>
      <c r="B6" t="s">
        <v>326</v>
      </c>
      <c r="C6" t="s">
        <v>248</v>
      </c>
      <c r="D6" t="s">
        <v>62</v>
      </c>
      <c r="E6">
        <v>35000</v>
      </c>
      <c r="F6">
        <v>35000</v>
      </c>
      <c r="G6" t="s">
        <v>31</v>
      </c>
      <c r="H6">
        <v>0</v>
      </c>
    </row>
    <row r="7" spans="1:8" x14ac:dyDescent="0.25">
      <c r="D7" t="s">
        <v>62</v>
      </c>
      <c r="E7">
        <v>35000</v>
      </c>
      <c r="G7" t="s">
        <v>31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H4"/>
  <sheetViews>
    <sheetView zoomScale="253" workbookViewId="0">
      <selection activeCell="H4" sqref="H4"/>
    </sheetView>
  </sheetViews>
  <sheetFormatPr defaultColWidth="11.42578125" defaultRowHeight="15" x14ac:dyDescent="0.25"/>
  <cols>
    <col min="1" max="1" width="11" customWidth="1"/>
    <col min="2" max="2" width="10.7109375" customWidth="1"/>
    <col min="3" max="3" width="13.42578125" customWidth="1"/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46260</v>
      </c>
      <c r="B2" t="s">
        <v>262</v>
      </c>
      <c r="C2" t="s">
        <v>183</v>
      </c>
      <c r="D2" t="s">
        <v>65</v>
      </c>
      <c r="E2">
        <f>SUMIF(todays_rent_data!B:B, "MUJIB*", todays_rent_data!D:D)</f>
        <v>22500</v>
      </c>
      <c r="F2">
        <v>22500</v>
      </c>
      <c r="G2" t="str">
        <f>VLOOKUP("MUJIB*", todays_rent_data!B:F, 5, FALSE)</f>
        <v>GRP 4</v>
      </c>
      <c r="H2">
        <v>2500</v>
      </c>
    </row>
    <row r="3" spans="1:8" x14ac:dyDescent="0.25">
      <c r="A3" s="2">
        <v>46288</v>
      </c>
      <c r="B3" t="s">
        <v>233</v>
      </c>
      <c r="C3" t="s">
        <v>225</v>
      </c>
      <c r="D3" t="s">
        <v>65</v>
      </c>
      <c r="E3">
        <v>22500</v>
      </c>
      <c r="F3">
        <v>22500</v>
      </c>
      <c r="G3" t="s">
        <v>64</v>
      </c>
      <c r="H3">
        <v>0</v>
      </c>
    </row>
    <row r="4" spans="1:8" x14ac:dyDescent="0.25">
      <c r="A4" s="2"/>
      <c r="C4" t="s">
        <v>183</v>
      </c>
      <c r="D4" t="s">
        <v>65</v>
      </c>
      <c r="E4">
        <v>2500</v>
      </c>
      <c r="G4" t="s">
        <v>64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/>
  <dimension ref="A1:H5"/>
  <sheetViews>
    <sheetView zoomScale="145" zoomScaleNormal="145" workbookViewId="0">
      <selection activeCell="F7" sqref="F7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46248</v>
      </c>
      <c r="B2" t="s">
        <v>240</v>
      </c>
      <c r="C2" t="s">
        <v>183</v>
      </c>
      <c r="D2" t="s">
        <v>45</v>
      </c>
      <c r="E2">
        <f>SUMIF(todays_rent_data!B:B, "NEHAL*", todays_rent_data!D:D)</f>
        <v>209000</v>
      </c>
      <c r="F2">
        <v>209000</v>
      </c>
      <c r="G2" t="str">
        <f>VLOOKUP("NEHAL*", todays_rent_data!B:F, 5, FALSE)</f>
        <v>GRP 2</v>
      </c>
      <c r="H2">
        <f>E2-F2</f>
        <v>0</v>
      </c>
    </row>
    <row r="3" spans="1:8" x14ac:dyDescent="0.25">
      <c r="A3" s="2">
        <v>46279</v>
      </c>
      <c r="B3" t="s">
        <v>327</v>
      </c>
      <c r="C3" t="s">
        <v>225</v>
      </c>
      <c r="D3" t="s">
        <v>45</v>
      </c>
      <c r="E3">
        <v>209000</v>
      </c>
      <c r="F3">
        <v>209000</v>
      </c>
      <c r="G3" t="s">
        <v>31</v>
      </c>
      <c r="H3">
        <v>0</v>
      </c>
    </row>
    <row r="4" spans="1:8" x14ac:dyDescent="0.25">
      <c r="A4" s="2">
        <v>46311</v>
      </c>
      <c r="B4" t="s">
        <v>327</v>
      </c>
      <c r="C4" t="s">
        <v>248</v>
      </c>
      <c r="D4" t="s">
        <v>45</v>
      </c>
      <c r="E4">
        <v>209000</v>
      </c>
      <c r="F4">
        <v>209000</v>
      </c>
      <c r="G4" t="s">
        <v>31</v>
      </c>
      <c r="H4">
        <v>0</v>
      </c>
    </row>
    <row r="5" spans="1:8" x14ac:dyDescent="0.25">
      <c r="D5" t="s">
        <v>45</v>
      </c>
      <c r="E5">
        <v>209000</v>
      </c>
      <c r="G5" t="s">
        <v>31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H6"/>
  <sheetViews>
    <sheetView zoomScale="246" zoomScaleNormal="85" workbookViewId="0">
      <selection activeCell="H5" sqref="H5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46252</v>
      </c>
      <c r="B2" t="s">
        <v>241</v>
      </c>
      <c r="C2" t="s">
        <v>183</v>
      </c>
      <c r="D2" t="s">
        <v>66</v>
      </c>
      <c r="E2">
        <f>SUMIF(todays_rent_data!B:B, "PERVAZ*", todays_rent_data!D:D)</f>
        <v>45000</v>
      </c>
      <c r="F2">
        <v>20000</v>
      </c>
      <c r="G2" t="str">
        <f>VLOOKUP("PERVAZ*", todays_rent_data!B:F, 5, FALSE)</f>
        <v>GRP 4</v>
      </c>
      <c r="H2">
        <f>E2-F2</f>
        <v>25000</v>
      </c>
    </row>
    <row r="3" spans="1:8" x14ac:dyDescent="0.25">
      <c r="A3" s="2">
        <v>46260</v>
      </c>
      <c r="B3" t="s">
        <v>264</v>
      </c>
      <c r="C3" t="s">
        <v>183</v>
      </c>
      <c r="D3" t="s">
        <v>66</v>
      </c>
      <c r="E3">
        <v>25000</v>
      </c>
      <c r="F3">
        <v>25000</v>
      </c>
      <c r="G3" t="s">
        <v>64</v>
      </c>
      <c r="H3">
        <v>0</v>
      </c>
    </row>
    <row r="4" spans="1:8" x14ac:dyDescent="0.25">
      <c r="A4" s="2">
        <v>46291</v>
      </c>
      <c r="B4" s="2" t="s">
        <v>241</v>
      </c>
      <c r="C4" t="s">
        <v>225</v>
      </c>
      <c r="D4" t="s">
        <v>66</v>
      </c>
      <c r="E4">
        <v>45000</v>
      </c>
      <c r="F4">
        <v>30000</v>
      </c>
      <c r="G4" t="s">
        <v>64</v>
      </c>
      <c r="H4">
        <v>15000</v>
      </c>
    </row>
    <row r="5" spans="1:8" x14ac:dyDescent="0.25">
      <c r="A5" s="2">
        <v>46297</v>
      </c>
      <c r="B5" t="s">
        <v>241</v>
      </c>
      <c r="C5" t="s">
        <v>225</v>
      </c>
      <c r="D5" t="s">
        <v>66</v>
      </c>
      <c r="E5">
        <v>15000</v>
      </c>
      <c r="F5">
        <v>15000</v>
      </c>
      <c r="G5" t="s">
        <v>64</v>
      </c>
      <c r="H5">
        <v>0</v>
      </c>
    </row>
    <row r="6" spans="1:8" x14ac:dyDescent="0.25">
      <c r="C6" t="s">
        <v>225</v>
      </c>
      <c r="D6" t="s">
        <v>66</v>
      </c>
      <c r="E6">
        <v>15000</v>
      </c>
      <c r="G6" t="s">
        <v>64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H2"/>
  <sheetViews>
    <sheetView zoomScale="145" zoomScaleNormal="145" workbookViewId="0">
      <selection activeCell="A2" sqref="A2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/>
      <c r="D2" t="s">
        <v>68</v>
      </c>
      <c r="E2">
        <f>SUMIF(todays_rent_data!B:B, "AZHAR*", todays_rent_data!D:D)</f>
        <v>11500</v>
      </c>
      <c r="G2" t="str">
        <f>VLOOKUP("AZHAR*", todays_rent_data!B:F, 5, FALSE)</f>
        <v>GRP 4</v>
      </c>
      <c r="H2">
        <f>E2-F2</f>
        <v>11500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8"/>
  <dimension ref="A1:H4"/>
  <sheetViews>
    <sheetView zoomScale="190" zoomScaleNormal="190" workbookViewId="0">
      <selection activeCell="E4" sqref="E4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46257</v>
      </c>
      <c r="B2" t="s">
        <v>258</v>
      </c>
      <c r="C2" t="s">
        <v>183</v>
      </c>
      <c r="D2" t="s">
        <v>56</v>
      </c>
      <c r="E2">
        <f>SUMIF(todays_rent_data!B:B, "HYDER*", todays_rent_data!D:D)</f>
        <v>25000</v>
      </c>
      <c r="F2">
        <v>25000</v>
      </c>
      <c r="G2" t="str">
        <f>VLOOKUP("HYDER*", todays_rent_data!B:F, 5, FALSE)</f>
        <v>GRP 3</v>
      </c>
      <c r="H2">
        <f>E2-F2</f>
        <v>0</v>
      </c>
    </row>
    <row r="3" spans="1:8" x14ac:dyDescent="0.25">
      <c r="A3" s="2">
        <v>46291</v>
      </c>
      <c r="B3" t="s">
        <v>328</v>
      </c>
      <c r="C3" t="s">
        <v>225</v>
      </c>
      <c r="D3" t="s">
        <v>56</v>
      </c>
      <c r="E3">
        <v>25000</v>
      </c>
      <c r="F3">
        <v>25000</v>
      </c>
      <c r="G3" t="s">
        <v>55</v>
      </c>
      <c r="H3">
        <v>0</v>
      </c>
    </row>
    <row r="4" spans="1:8" x14ac:dyDescent="0.25">
      <c r="C4" t="s">
        <v>225</v>
      </c>
      <c r="D4" t="s">
        <v>56</v>
      </c>
      <c r="E4">
        <v>25000</v>
      </c>
      <c r="G4" t="s">
        <v>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H6"/>
  <sheetViews>
    <sheetView zoomScale="145" zoomScaleNormal="145" workbookViewId="0">
      <selection activeCell="F4" sqref="F4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46256</v>
      </c>
      <c r="B2" t="s">
        <v>259</v>
      </c>
      <c r="C2" t="s">
        <v>183</v>
      </c>
      <c r="D2" t="s">
        <v>53</v>
      </c>
      <c r="E2">
        <v>14000</v>
      </c>
      <c r="F2">
        <v>14000</v>
      </c>
      <c r="G2" t="str">
        <f>VLOOKUP("MOIN*", todays_rent_data!B:F, 5, FALSE)</f>
        <v>GRP 3</v>
      </c>
      <c r="H2">
        <v>0</v>
      </c>
    </row>
    <row r="3" spans="1:8" x14ac:dyDescent="0.25">
      <c r="A3" s="2">
        <v>46263</v>
      </c>
      <c r="B3" t="s">
        <v>267</v>
      </c>
      <c r="C3" t="s">
        <v>183</v>
      </c>
      <c r="D3" t="s">
        <v>53</v>
      </c>
      <c r="E3">
        <v>13000</v>
      </c>
      <c r="F3">
        <v>13000</v>
      </c>
      <c r="G3" t="s">
        <v>55</v>
      </c>
      <c r="H3">
        <v>0</v>
      </c>
    </row>
    <row r="4" spans="1:8" x14ac:dyDescent="0.25">
      <c r="A4" s="2">
        <v>46286</v>
      </c>
      <c r="B4" t="s">
        <v>240</v>
      </c>
      <c r="C4" t="s">
        <v>225</v>
      </c>
      <c r="D4" t="s">
        <v>53</v>
      </c>
      <c r="E4">
        <v>14000</v>
      </c>
      <c r="F4">
        <v>14000</v>
      </c>
      <c r="G4" t="s">
        <v>55</v>
      </c>
      <c r="H4">
        <v>0</v>
      </c>
    </row>
    <row r="5" spans="1:8" x14ac:dyDescent="0.25">
      <c r="A5" s="2">
        <v>46294</v>
      </c>
      <c r="B5" t="s">
        <v>240</v>
      </c>
      <c r="C5" t="s">
        <v>225</v>
      </c>
      <c r="D5" t="s">
        <v>53</v>
      </c>
      <c r="E5">
        <v>12000</v>
      </c>
      <c r="F5">
        <v>12000</v>
      </c>
      <c r="G5" t="s">
        <v>55</v>
      </c>
      <c r="H5">
        <v>0</v>
      </c>
    </row>
    <row r="6" spans="1:8" x14ac:dyDescent="0.25">
      <c r="A6" s="2">
        <v>46324</v>
      </c>
      <c r="C6" t="s">
        <v>248</v>
      </c>
      <c r="D6" t="s">
        <v>53</v>
      </c>
      <c r="E6">
        <v>14000</v>
      </c>
      <c r="G6" t="s">
        <v>55</v>
      </c>
      <c r="H6">
        <v>14000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9"/>
  <dimension ref="A1:H4"/>
  <sheetViews>
    <sheetView zoomScale="190" zoomScaleNormal="190" workbookViewId="0">
      <selection activeCell="E7" sqref="E7"/>
    </sheetView>
  </sheetViews>
  <sheetFormatPr defaultColWidth="11.42578125" defaultRowHeight="15" x14ac:dyDescent="0.25"/>
  <cols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46253</v>
      </c>
      <c r="B2" t="s">
        <v>254</v>
      </c>
      <c r="C2" t="s">
        <v>183</v>
      </c>
      <c r="D2" t="s">
        <v>57</v>
      </c>
      <c r="E2">
        <f>SUMIF(todays_rent_data!B:B, "RAFAT*", todays_rent_data!D:D)</f>
        <v>15000</v>
      </c>
      <c r="F2">
        <v>15000</v>
      </c>
      <c r="G2" t="str">
        <f>VLOOKUP("RAFAT*", todays_rent_data!B:F, 5, FALSE)</f>
        <v>GRP 3</v>
      </c>
      <c r="H2">
        <f>E2-F2</f>
        <v>0</v>
      </c>
    </row>
    <row r="3" spans="1:8" x14ac:dyDescent="0.25">
      <c r="A3" s="2">
        <v>46289</v>
      </c>
      <c r="B3" t="s">
        <v>328</v>
      </c>
      <c r="C3" t="s">
        <v>225</v>
      </c>
      <c r="D3" t="s">
        <v>57</v>
      </c>
      <c r="E3">
        <v>15000</v>
      </c>
      <c r="F3">
        <v>15000</v>
      </c>
      <c r="G3" t="s">
        <v>55</v>
      </c>
      <c r="H3">
        <v>0</v>
      </c>
    </row>
    <row r="4" spans="1:8" x14ac:dyDescent="0.25">
      <c r="C4" t="s">
        <v>225</v>
      </c>
      <c r="D4" t="s">
        <v>57</v>
      </c>
      <c r="E4">
        <v>15000</v>
      </c>
      <c r="G4" t="s">
        <v>55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/>
  <dimension ref="A1:H5"/>
  <sheetViews>
    <sheetView zoomScale="134" zoomScaleNormal="160" workbookViewId="0">
      <selection activeCell="G6" sqref="G6"/>
    </sheetView>
  </sheetViews>
  <sheetFormatPr defaultColWidth="11.42578125" defaultRowHeight="15" x14ac:dyDescent="0.25"/>
  <cols>
    <col min="3" max="3" width="14" customWidth="1"/>
    <col min="6" max="6" width="15" customWidth="1"/>
  </cols>
  <sheetData>
    <row r="1" spans="1:8" s="1" customFormat="1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46235</v>
      </c>
      <c r="B2" t="s">
        <v>182</v>
      </c>
      <c r="C2" t="s">
        <v>183</v>
      </c>
      <c r="D2" t="s">
        <v>184</v>
      </c>
      <c r="E2">
        <f>SUMIF(todays_rent_data!B:B, "ANAS*", todays_rent_data!D:D)</f>
        <v>119600</v>
      </c>
      <c r="F2">
        <v>119600</v>
      </c>
      <c r="G2" t="str">
        <f>VLOOKUP("ANAS*", todays_rent_data!B:F, 5, FALSE)</f>
        <v>GRP 1</v>
      </c>
      <c r="H2">
        <f>E2-F2</f>
        <v>0</v>
      </c>
    </row>
    <row r="3" spans="1:8" x14ac:dyDescent="0.25">
      <c r="A3" s="2">
        <v>46267</v>
      </c>
      <c r="B3" t="s">
        <v>271</v>
      </c>
      <c r="C3" t="s">
        <v>225</v>
      </c>
      <c r="D3" t="s">
        <v>184</v>
      </c>
      <c r="E3">
        <f>SUMIF(todays_rent_data!B:B, "ANAS*", todays_rent_data!D:D)</f>
        <v>119600</v>
      </c>
      <c r="F3">
        <v>119600</v>
      </c>
      <c r="G3" t="s">
        <v>10</v>
      </c>
      <c r="H3">
        <v>0</v>
      </c>
    </row>
    <row r="4" spans="1:8" x14ac:dyDescent="0.25">
      <c r="A4" s="2">
        <v>46298</v>
      </c>
      <c r="B4" s="91">
        <v>0.58333333333333337</v>
      </c>
      <c r="C4" t="s">
        <v>248</v>
      </c>
      <c r="D4" t="s">
        <v>184</v>
      </c>
      <c r="E4">
        <v>119600</v>
      </c>
      <c r="F4">
        <v>119600</v>
      </c>
      <c r="G4" t="s">
        <v>10</v>
      </c>
      <c r="H4">
        <v>0</v>
      </c>
    </row>
    <row r="5" spans="1:8" x14ac:dyDescent="0.25">
      <c r="C5" t="s">
        <v>248</v>
      </c>
      <c r="D5" t="s">
        <v>184</v>
      </c>
      <c r="E5">
        <v>119600</v>
      </c>
      <c r="G5" t="s">
        <v>10</v>
      </c>
    </row>
  </sheetData>
  <pageMargins left="0.7" right="0.7" top="0.75" bottom="0.75" header="0.3" footer="0.3"/>
  <pageSetup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3"/>
  <dimension ref="A1:H5"/>
  <sheetViews>
    <sheetView zoomScale="160" zoomScaleNormal="160" workbookViewId="0">
      <selection activeCell="G4" sqref="G4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46239</v>
      </c>
      <c r="B2" t="s">
        <v>182</v>
      </c>
      <c r="C2" t="s">
        <v>183</v>
      </c>
      <c r="D2" t="s">
        <v>14</v>
      </c>
      <c r="E2">
        <f>SUMIF(todays_rent_data!B:B, "AZIM*", todays_rent_data!D:D)</f>
        <v>26000</v>
      </c>
      <c r="F2">
        <v>26000</v>
      </c>
      <c r="G2" t="str">
        <f>VLOOKUP("AZIM*", todays_rent_data!B:F, 5, FALSE)</f>
        <v>GRP 1</v>
      </c>
      <c r="H2">
        <f>E2-F2</f>
        <v>0</v>
      </c>
    </row>
    <row r="3" spans="1:8" x14ac:dyDescent="0.25">
      <c r="A3" s="2">
        <v>46269</v>
      </c>
      <c r="B3" t="s">
        <v>240</v>
      </c>
      <c r="C3" t="s">
        <v>225</v>
      </c>
      <c r="D3" t="s">
        <v>14</v>
      </c>
      <c r="E3">
        <v>26000</v>
      </c>
      <c r="F3">
        <v>26000</v>
      </c>
      <c r="G3" t="str">
        <f>VLOOKUP("AZIM*", todays_rent_data!B:F, 5, FALSE)</f>
        <v>GRP 1</v>
      </c>
      <c r="H3">
        <v>0</v>
      </c>
    </row>
    <row r="4" spans="1:8" x14ac:dyDescent="0.25">
      <c r="A4" s="2">
        <v>46298</v>
      </c>
      <c r="B4" s="92">
        <v>0.5</v>
      </c>
      <c r="C4" t="s">
        <v>248</v>
      </c>
      <c r="D4" t="s">
        <v>14</v>
      </c>
      <c r="E4">
        <v>26000</v>
      </c>
      <c r="F4">
        <v>26000</v>
      </c>
      <c r="G4" t="s">
        <v>10</v>
      </c>
      <c r="H4">
        <v>0</v>
      </c>
    </row>
    <row r="5" spans="1:8" x14ac:dyDescent="0.25">
      <c r="C5" t="s">
        <v>248</v>
      </c>
      <c r="D5" t="s">
        <v>14</v>
      </c>
      <c r="E5">
        <v>26000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4"/>
  <dimension ref="A1:H5"/>
  <sheetViews>
    <sheetView topLeftCell="B1" zoomScale="175" zoomScaleNormal="175" workbookViewId="0">
      <selection activeCell="B5" sqref="B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46238</v>
      </c>
      <c r="B2" t="s">
        <v>182</v>
      </c>
      <c r="C2" t="s">
        <v>183</v>
      </c>
      <c r="D2" t="s">
        <v>18</v>
      </c>
      <c r="E2">
        <f>SUMIF(todays_rent_data!B:B, "SONU*", todays_rent_data!D:D)</f>
        <v>20000</v>
      </c>
      <c r="F2">
        <v>20000</v>
      </c>
      <c r="G2" t="str">
        <f>VLOOKUP("SONU*", todays_rent_data!B:F, 5, FALSE)</f>
        <v>GRP 1</v>
      </c>
      <c r="H2">
        <f>E2-F2</f>
        <v>0</v>
      </c>
    </row>
    <row r="3" spans="1:8" x14ac:dyDescent="0.25">
      <c r="A3" s="2">
        <v>46268</v>
      </c>
      <c r="B3" t="s">
        <v>272</v>
      </c>
      <c r="C3" t="s">
        <v>225</v>
      </c>
      <c r="D3" t="s">
        <v>18</v>
      </c>
      <c r="E3">
        <v>20000</v>
      </c>
      <c r="F3">
        <v>20000</v>
      </c>
      <c r="G3" t="s">
        <v>10</v>
      </c>
      <c r="H3">
        <f>E3-F3</f>
        <v>0</v>
      </c>
    </row>
    <row r="4" spans="1:8" x14ac:dyDescent="0.25">
      <c r="A4" s="2">
        <v>46298</v>
      </c>
      <c r="B4" s="2">
        <v>46300</v>
      </c>
      <c r="C4" t="s">
        <v>248</v>
      </c>
      <c r="D4" t="s">
        <v>18</v>
      </c>
      <c r="E4">
        <v>20000</v>
      </c>
      <c r="F4">
        <v>20000</v>
      </c>
      <c r="G4" t="s">
        <v>10</v>
      </c>
      <c r="H4">
        <v>0</v>
      </c>
    </row>
    <row r="5" spans="1:8" x14ac:dyDescent="0.25">
      <c r="C5" t="s">
        <v>248</v>
      </c>
      <c r="D5" t="s">
        <v>18</v>
      </c>
      <c r="E5">
        <v>20000</v>
      </c>
      <c r="G5" t="s">
        <v>10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5"/>
  <dimension ref="A1:H5"/>
  <sheetViews>
    <sheetView workbookViewId="0">
      <selection activeCell="A5" sqref="A5:XFD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46240</v>
      </c>
      <c r="C2" t="s">
        <v>183</v>
      </c>
      <c r="D2" t="s">
        <v>22</v>
      </c>
      <c r="E2">
        <f>SUMIF(todays_rent_data!B:B, "DUBEY JI*", todays_rent_data!D:D)</f>
        <v>50000</v>
      </c>
      <c r="F2">
        <v>50000</v>
      </c>
      <c r="G2" t="str">
        <f>VLOOKUP("DUBEY JI*", todays_rent_data!B:F, 5, FALSE)</f>
        <v>GRP 1</v>
      </c>
      <c r="H2">
        <f>E2-F2</f>
        <v>0</v>
      </c>
    </row>
    <row r="3" spans="1:8" x14ac:dyDescent="0.25">
      <c r="A3" s="2">
        <v>46272</v>
      </c>
      <c r="C3" t="s">
        <v>225</v>
      </c>
      <c r="D3" t="s">
        <v>22</v>
      </c>
      <c r="E3">
        <f>SUMIF(todays_rent_data!B:B, "DUBEY JI*", todays_rent_data!D:D)</f>
        <v>50000</v>
      </c>
      <c r="F3">
        <v>50000</v>
      </c>
      <c r="G3" t="str">
        <f>VLOOKUP("DUBEY JI*", todays_rent_data!B:F, 5, FALSE)</f>
        <v>GRP 1</v>
      </c>
      <c r="H3">
        <v>0</v>
      </c>
    </row>
    <row r="4" spans="1:8" x14ac:dyDescent="0.25">
      <c r="A4" s="2">
        <v>46301</v>
      </c>
      <c r="B4" t="s">
        <v>327</v>
      </c>
      <c r="C4" t="s">
        <v>248</v>
      </c>
      <c r="D4" t="s">
        <v>22</v>
      </c>
      <c r="E4">
        <v>50000</v>
      </c>
      <c r="F4">
        <v>50000</v>
      </c>
      <c r="G4" t="s">
        <v>10</v>
      </c>
      <c r="H4">
        <v>0</v>
      </c>
    </row>
    <row r="5" spans="1:8" x14ac:dyDescent="0.25">
      <c r="C5" t="s">
        <v>225</v>
      </c>
      <c r="D5" t="s">
        <v>22</v>
      </c>
      <c r="E5">
        <v>50000</v>
      </c>
      <c r="G5" t="s">
        <v>10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H3"/>
  <sheetViews>
    <sheetView zoomScale="115" zoomScaleNormal="115" workbookViewId="0">
      <selection activeCell="F10" sqref="F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46244</v>
      </c>
      <c r="B2" t="s">
        <v>313</v>
      </c>
      <c r="C2" t="s">
        <v>183</v>
      </c>
      <c r="D2" t="s">
        <v>25</v>
      </c>
      <c r="E2">
        <f>SUMIF(todays_rent_data!B:B, "KAMAL*", todays_rent_data!D:D)</f>
        <v>20000</v>
      </c>
      <c r="F2">
        <v>20000</v>
      </c>
      <c r="G2" t="str">
        <f>VLOOKUP("KAMAL*", todays_rent_data!B:F, 5, FALSE)</f>
        <v>GRP 1</v>
      </c>
      <c r="H2">
        <v>0</v>
      </c>
    </row>
    <row r="3" spans="1:8" x14ac:dyDescent="0.25">
      <c r="A3" s="2">
        <v>46275</v>
      </c>
      <c r="B3" t="s">
        <v>182</v>
      </c>
      <c r="C3" t="s">
        <v>225</v>
      </c>
      <c r="D3" t="s">
        <v>25</v>
      </c>
      <c r="E3">
        <f>SUMIF(todays_rent_data!B:B, "KAMAL*", todays_rent_data!D:D)</f>
        <v>20000</v>
      </c>
      <c r="F3">
        <v>20000</v>
      </c>
      <c r="G3" t="str">
        <f>VLOOKUP("KAMAL*", todays_rent_data!B:F, 5, FALSE)</f>
        <v>GRP 1</v>
      </c>
      <c r="H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7"/>
  <dimension ref="A1:H5"/>
  <sheetViews>
    <sheetView zoomScale="180" workbookViewId="0">
      <selection activeCell="B10" sqref="B10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46254</v>
      </c>
      <c r="B2" t="s">
        <v>253</v>
      </c>
      <c r="C2" t="s">
        <v>183</v>
      </c>
      <c r="D2" t="s">
        <v>34</v>
      </c>
      <c r="E2">
        <f>SUMIF(todays_rent_data!B:B, "EJAZ*", todays_rent_data!D:D)</f>
        <v>75000</v>
      </c>
      <c r="F2">
        <v>75000</v>
      </c>
      <c r="G2" t="str">
        <f>VLOOKUP("EJAZ*", todays_rent_data!B:F, 5, FALSE)</f>
        <v>GRP 2</v>
      </c>
      <c r="H2">
        <f>E2-F2</f>
        <v>0</v>
      </c>
    </row>
    <row r="3" spans="1:8" x14ac:dyDescent="0.25">
      <c r="A3" s="2">
        <v>46284</v>
      </c>
      <c r="B3" t="s">
        <v>327</v>
      </c>
      <c r="C3" t="s">
        <v>225</v>
      </c>
      <c r="D3" t="s">
        <v>34</v>
      </c>
      <c r="E3">
        <v>75000</v>
      </c>
      <c r="F3">
        <v>75000</v>
      </c>
      <c r="G3" t="s">
        <v>31</v>
      </c>
      <c r="H3">
        <v>0</v>
      </c>
    </row>
    <row r="4" spans="1:8" x14ac:dyDescent="0.25">
      <c r="A4" s="2">
        <v>46317</v>
      </c>
      <c r="B4" t="s">
        <v>326</v>
      </c>
      <c r="C4" t="s">
        <v>248</v>
      </c>
      <c r="D4" t="s">
        <v>34</v>
      </c>
      <c r="E4">
        <v>75000</v>
      </c>
      <c r="F4">
        <v>75000</v>
      </c>
      <c r="G4" t="s">
        <v>31</v>
      </c>
      <c r="H4">
        <v>0</v>
      </c>
    </row>
    <row r="5" spans="1:8" x14ac:dyDescent="0.25">
      <c r="C5" t="s">
        <v>248</v>
      </c>
      <c r="D5" t="s">
        <v>34</v>
      </c>
      <c r="E5">
        <v>75000</v>
      </c>
      <c r="G5" t="s">
        <v>31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/>
  <dimension ref="A1:H5"/>
  <sheetViews>
    <sheetView zoomScale="160" zoomScaleNormal="160"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46246</v>
      </c>
      <c r="B2" t="s">
        <v>233</v>
      </c>
      <c r="C2" t="s">
        <v>183</v>
      </c>
      <c r="D2" t="s">
        <v>36</v>
      </c>
      <c r="E2">
        <f>SUMIF(todays_rent_data!B:B, "ANUJ*", todays_rent_data!D:D)</f>
        <v>27500</v>
      </c>
      <c r="F2">
        <v>27500</v>
      </c>
      <c r="G2" t="str">
        <f>VLOOKUP("ANUJ*", todays_rent_data!B:F, 5, FALSE)</f>
        <v>GRP 2</v>
      </c>
      <c r="H2">
        <f>E2-F2</f>
        <v>0</v>
      </c>
    </row>
    <row r="3" spans="1:8" x14ac:dyDescent="0.25">
      <c r="A3" s="2">
        <v>46277</v>
      </c>
      <c r="B3" t="s">
        <v>326</v>
      </c>
      <c r="C3" t="s">
        <v>225</v>
      </c>
      <c r="D3" t="s">
        <v>36</v>
      </c>
      <c r="E3">
        <v>27500</v>
      </c>
      <c r="F3">
        <v>27500</v>
      </c>
      <c r="G3" t="s">
        <v>31</v>
      </c>
      <c r="H3">
        <v>0</v>
      </c>
    </row>
    <row r="4" spans="1:8" x14ac:dyDescent="0.25">
      <c r="A4" s="2">
        <v>46309</v>
      </c>
      <c r="B4" t="s">
        <v>326</v>
      </c>
      <c r="C4" t="s">
        <v>248</v>
      </c>
      <c r="D4" t="s">
        <v>36</v>
      </c>
      <c r="E4">
        <v>27500</v>
      </c>
      <c r="F4">
        <v>27500</v>
      </c>
      <c r="G4" t="s">
        <v>31</v>
      </c>
      <c r="H4">
        <v>0</v>
      </c>
    </row>
    <row r="5" spans="1:8" x14ac:dyDescent="0.25">
      <c r="D5" t="s">
        <v>36</v>
      </c>
      <c r="E5">
        <v>27500</v>
      </c>
      <c r="G5" t="s">
        <v>31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/>
  <dimension ref="A1:H5"/>
  <sheetViews>
    <sheetView zoomScale="160" zoomScaleNormal="160" workbookViewId="0">
      <selection activeCell="F5" sqref="F5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46245</v>
      </c>
      <c r="B2" t="s">
        <v>182</v>
      </c>
      <c r="C2" t="s">
        <v>183</v>
      </c>
      <c r="D2" t="s">
        <v>42</v>
      </c>
      <c r="E2">
        <f>SUMIF(todays_rent_data!B:B, "ATIQUE*", todays_rent_data!D:D)</f>
        <v>20000</v>
      </c>
      <c r="F2">
        <v>20000</v>
      </c>
      <c r="G2" t="str">
        <f>VLOOKUP("ATIQUE*", todays_rent_data!B:F, 5, FALSE)</f>
        <v>GRP 2</v>
      </c>
      <c r="H2">
        <f>E2-F2</f>
        <v>0</v>
      </c>
    </row>
    <row r="3" spans="1:8" x14ac:dyDescent="0.25">
      <c r="A3" s="2">
        <v>46275</v>
      </c>
      <c r="B3" t="s">
        <v>314</v>
      </c>
      <c r="C3" t="s">
        <v>225</v>
      </c>
      <c r="D3" t="s">
        <v>42</v>
      </c>
      <c r="E3">
        <v>20000</v>
      </c>
      <c r="F3">
        <v>20000</v>
      </c>
      <c r="G3" t="s">
        <v>31</v>
      </c>
      <c r="H3">
        <v>0</v>
      </c>
    </row>
    <row r="4" spans="1:8" x14ac:dyDescent="0.25">
      <c r="A4" s="2">
        <v>46305</v>
      </c>
      <c r="B4" t="s">
        <v>327</v>
      </c>
      <c r="C4" t="s">
        <v>248</v>
      </c>
      <c r="D4" t="s">
        <v>42</v>
      </c>
      <c r="E4">
        <v>20000</v>
      </c>
      <c r="F4">
        <v>20000</v>
      </c>
      <c r="G4" t="s">
        <v>31</v>
      </c>
      <c r="H4">
        <v>0</v>
      </c>
    </row>
    <row r="5" spans="1:8" x14ac:dyDescent="0.25">
      <c r="C5" t="s">
        <v>225</v>
      </c>
      <c r="D5" t="s">
        <v>42</v>
      </c>
      <c r="E5">
        <v>20000</v>
      </c>
      <c r="G5" t="s">
        <v>31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2"/>
  <dimension ref="A1:H5"/>
  <sheetViews>
    <sheetView zoomScale="115" zoomScaleNormal="115" workbookViewId="0">
      <selection activeCell="F6" sqref="F6"/>
    </sheetView>
  </sheetViews>
  <sheetFormatPr defaultColWidth="11.42578125" defaultRowHeight="15" x14ac:dyDescent="0.25"/>
  <cols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46246</v>
      </c>
      <c r="B2" t="s">
        <v>232</v>
      </c>
      <c r="C2" t="s">
        <v>183</v>
      </c>
      <c r="D2" t="s">
        <v>47</v>
      </c>
      <c r="E2">
        <f>SUMIF(todays_rent_data!B:B, "MANISH*", todays_rent_data!D:D)</f>
        <v>38000</v>
      </c>
      <c r="F2">
        <v>38000</v>
      </c>
      <c r="G2" t="str">
        <f>VLOOKUP("MANISH*", todays_rent_data!B:F, 5, FALSE)</f>
        <v>GRP 2</v>
      </c>
      <c r="H2">
        <f>E2-F2</f>
        <v>0</v>
      </c>
    </row>
    <row r="3" spans="1:8" x14ac:dyDescent="0.25">
      <c r="A3" s="2">
        <v>46281</v>
      </c>
      <c r="B3" t="s">
        <v>324</v>
      </c>
      <c r="C3" t="s">
        <v>225</v>
      </c>
      <c r="D3" t="s">
        <v>47</v>
      </c>
      <c r="E3">
        <v>38000</v>
      </c>
      <c r="F3">
        <v>38000</v>
      </c>
      <c r="G3" t="s">
        <v>31</v>
      </c>
      <c r="H3">
        <v>0</v>
      </c>
    </row>
    <row r="4" spans="1:8" x14ac:dyDescent="0.25">
      <c r="A4" s="2">
        <v>46307</v>
      </c>
      <c r="B4" t="s">
        <v>326</v>
      </c>
      <c r="C4" t="s">
        <v>248</v>
      </c>
      <c r="D4" t="s">
        <v>47</v>
      </c>
      <c r="E4">
        <v>38000</v>
      </c>
      <c r="F4">
        <v>38000</v>
      </c>
      <c r="G4" t="s">
        <v>31</v>
      </c>
      <c r="H4">
        <v>0</v>
      </c>
    </row>
    <row r="5" spans="1:8" x14ac:dyDescent="0.25">
      <c r="D5" t="s">
        <v>47</v>
      </c>
      <c r="E5">
        <v>38000</v>
      </c>
      <c r="G5" t="s">
        <v>31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3"/>
  <dimension ref="A1:H5"/>
  <sheetViews>
    <sheetView zoomScale="205" zoomScaleNormal="205" workbookViewId="0">
      <selection activeCell="C7" sqref="C7"/>
    </sheetView>
  </sheetViews>
  <sheetFormatPr defaultColWidth="11.42578125" defaultRowHeight="15" x14ac:dyDescent="0.25"/>
  <cols>
    <col min="3" max="3" width="15.42578125" bestFit="1" customWidth="1"/>
    <col min="6" max="6" width="1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46247</v>
      </c>
      <c r="B2" t="s">
        <v>237</v>
      </c>
      <c r="C2" t="s">
        <v>183</v>
      </c>
      <c r="D2" t="s">
        <v>49</v>
      </c>
      <c r="E2">
        <f>SUMIF(todays_rent_data!B:B, "SUNNY*", todays_rent_data!D:D)</f>
        <v>16000</v>
      </c>
      <c r="F2">
        <v>16000</v>
      </c>
      <c r="G2" t="str">
        <f>VLOOKUP("SUNNY*", todays_rent_data!B:F, 5, FALSE)</f>
        <v>GRP 2</v>
      </c>
      <c r="H2">
        <f>E2-F2</f>
        <v>0</v>
      </c>
    </row>
    <row r="3" spans="1:8" x14ac:dyDescent="0.25">
      <c r="A3" s="2">
        <v>46277</v>
      </c>
      <c r="B3" t="s">
        <v>327</v>
      </c>
      <c r="C3" t="s">
        <v>225</v>
      </c>
      <c r="D3" t="s">
        <v>49</v>
      </c>
      <c r="E3">
        <v>16000</v>
      </c>
      <c r="F3">
        <v>16000</v>
      </c>
      <c r="G3" t="s">
        <v>31</v>
      </c>
      <c r="H3">
        <v>0</v>
      </c>
    </row>
    <row r="4" spans="1:8" x14ac:dyDescent="0.25">
      <c r="A4" s="2">
        <v>46310</v>
      </c>
      <c r="B4" t="s">
        <v>327</v>
      </c>
      <c r="C4" t="s">
        <v>248</v>
      </c>
      <c r="D4" t="s">
        <v>49</v>
      </c>
      <c r="E4">
        <v>16000</v>
      </c>
      <c r="F4">
        <v>16000</v>
      </c>
      <c r="G4" t="s">
        <v>31</v>
      </c>
      <c r="H4">
        <v>0</v>
      </c>
    </row>
    <row r="5" spans="1:8" x14ac:dyDescent="0.25">
      <c r="D5" t="s">
        <v>49</v>
      </c>
      <c r="E5">
        <v>16000</v>
      </c>
      <c r="G5" t="s">
        <v>31</v>
      </c>
      <c r="H5">
        <v>16000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12"/>
  <dimension ref="A1:H5"/>
  <sheetViews>
    <sheetView workbookViewId="0">
      <selection activeCell="G4" sqref="G4"/>
    </sheetView>
  </sheetViews>
  <sheetFormatPr defaultColWidth="8.85546875" defaultRowHeight="15" x14ac:dyDescent="0.25"/>
  <cols>
    <col min="1" max="1" width="15.42578125" customWidth="1"/>
    <col min="2" max="2" width="12.42578125" customWidth="1"/>
    <col min="3" max="3" width="20.42578125" customWidth="1"/>
    <col min="4" max="5" width="15.42578125" customWidth="1"/>
    <col min="6" max="6" width="15" customWidth="1"/>
    <col min="7" max="7" width="15.42578125" customWidth="1"/>
  </cols>
  <sheetData>
    <row r="1" spans="1:8" x14ac:dyDescent="0.25">
      <c r="A1" s="1" t="s">
        <v>70</v>
      </c>
      <c r="B1" s="1" t="s">
        <v>71</v>
      </c>
      <c r="C1" s="1" t="s">
        <v>180</v>
      </c>
      <c r="D1" s="1" t="s">
        <v>72</v>
      </c>
      <c r="E1" s="1" t="s">
        <v>73</v>
      </c>
      <c r="F1" s="4" t="s">
        <v>181</v>
      </c>
      <c r="G1" s="1" t="s">
        <v>74</v>
      </c>
      <c r="H1" s="5" t="s">
        <v>75</v>
      </c>
    </row>
    <row r="2" spans="1:8" x14ac:dyDescent="0.25">
      <c r="A2" s="2">
        <v>46235</v>
      </c>
      <c r="C2" t="s">
        <v>183</v>
      </c>
      <c r="D2" t="s">
        <v>11</v>
      </c>
      <c r="E2">
        <f>SUMIF(todays_rent_data!B:B, "NOOR MD.*", todays_rent_data!D:D)</f>
        <v>11000</v>
      </c>
      <c r="F2">
        <v>11000</v>
      </c>
      <c r="G2" t="str">
        <f>VLOOKUP("NOOR MD.*", todays_rent_data!B:F, 5, FALSE)</f>
        <v>GRP 1</v>
      </c>
      <c r="H2">
        <f>E2-F2</f>
        <v>0</v>
      </c>
    </row>
    <row r="3" spans="1:8" x14ac:dyDescent="0.25">
      <c r="A3" s="2">
        <v>46269</v>
      </c>
      <c r="B3" t="s">
        <v>306</v>
      </c>
      <c r="C3" t="s">
        <v>225</v>
      </c>
      <c r="D3" t="s">
        <v>11</v>
      </c>
      <c r="E3">
        <f>SUMIF(todays_rent_data!B:B, "NOOR MD.*", todays_rent_data!D:D)</f>
        <v>11000</v>
      </c>
      <c r="F3">
        <v>11000</v>
      </c>
      <c r="G3" t="str">
        <f>VLOOKUP("NOOR MD.*", todays_rent_data!B:F, 5, FALSE)</f>
        <v>GRP 1</v>
      </c>
      <c r="H3">
        <v>0</v>
      </c>
    </row>
    <row r="4" spans="1:8" x14ac:dyDescent="0.25">
      <c r="A4" s="2">
        <v>46298</v>
      </c>
      <c r="B4" t="s">
        <v>306</v>
      </c>
      <c r="C4" t="s">
        <v>248</v>
      </c>
      <c r="D4" t="s">
        <v>11</v>
      </c>
      <c r="E4">
        <v>11000</v>
      </c>
      <c r="F4">
        <v>11000</v>
      </c>
      <c r="G4" t="s">
        <v>10</v>
      </c>
      <c r="H4">
        <v>0</v>
      </c>
    </row>
    <row r="5" spans="1:8" x14ac:dyDescent="0.25">
      <c r="D5" t="s">
        <v>11</v>
      </c>
      <c r="E5">
        <v>11000</v>
      </c>
      <c r="G5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todays_rent_data</vt:lpstr>
      <vt:lpstr>TODAYS_EXPENDITURE</vt:lpstr>
      <vt:lpstr>TODAYS_RENT_MISC</vt:lpstr>
      <vt:lpstr>MASTER_EXECUTIVE_SUMMARY</vt:lpstr>
      <vt:lpstr>DATABASE_EXPENDITURE</vt:lpstr>
      <vt:lpstr>DATABASE_RENT_MISC</vt:lpstr>
      <vt:lpstr>PURCHASE SHEET</vt:lpstr>
      <vt:lpstr>DATABASE_PURCHASE</vt:lpstr>
      <vt:lpstr>MISCELLANEOUS</vt:lpstr>
      <vt:lpstr>RENT PERSONS MISCELLANEOUS</vt:lpstr>
      <vt:lpstr>RANJAN</vt:lpstr>
      <vt:lpstr>MUJIB</vt:lpstr>
      <vt:lpstr>NEHAL</vt:lpstr>
      <vt:lpstr>PERVAZ</vt:lpstr>
      <vt:lpstr>AZHAR</vt:lpstr>
      <vt:lpstr>HYDER</vt:lpstr>
      <vt:lpstr>MOIN</vt:lpstr>
      <vt:lpstr>RAFAT</vt:lpstr>
      <vt:lpstr>ANAS</vt:lpstr>
      <vt:lpstr>AZIM</vt:lpstr>
      <vt:lpstr>SONU</vt:lpstr>
      <vt:lpstr>DUBEY JI</vt:lpstr>
      <vt:lpstr>KAMAL</vt:lpstr>
      <vt:lpstr>EJAZ</vt:lpstr>
      <vt:lpstr>ANUJ</vt:lpstr>
      <vt:lpstr>ATIQUE</vt:lpstr>
      <vt:lpstr>MANISH</vt:lpstr>
      <vt:lpstr>SUNNY</vt:lpstr>
      <vt:lpstr>NOOR MD.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Raquib .</dc:creator>
  <cp:lastModifiedBy>Raquib .</cp:lastModifiedBy>
  <dcterms:created xsi:type="dcterms:W3CDTF">2026-07-28T11:35:20Z</dcterms:created>
  <dcterms:modified xsi:type="dcterms:W3CDTF">2026-10-27T08:49:32Z</dcterms:modified>
</cp:coreProperties>
</file>