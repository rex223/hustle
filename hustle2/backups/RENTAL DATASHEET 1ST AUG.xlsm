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A5D659E9-F38F-446F-8032-A51D6F86E9F1}" xr6:coauthVersionLast="47" xr6:coauthVersionMax="47" xr10:uidLastSave="{00000000-0000-0000-0000-000000000000}"/>
  <bookViews>
    <workbookView xWindow="-120" yWindow="-120" windowWidth="29040" windowHeight="16440" tabRatio="938" activeTab="5" xr2:uid="{00000000-000D-0000-FFFF-FFFF00000000}"/>
  </bookViews>
  <sheets>
    <sheet name="RENT DATA" sheetId="1" r:id="rId1"/>
    <sheet name="PAYMENT SHEET" sheetId="2" r:id="rId2"/>
    <sheet name="PURCHASE SHEET" sheetId="28" r:id="rId3"/>
    <sheet name="TODAYS EXPENDITURE" sheetId="30" r:id="rId4"/>
    <sheet name="DATABASE_PURCHASE" sheetId="27" r:id="rId5"/>
    <sheet name="DATABASE_EXPENDITURE" sheetId="29" r:id="rId6"/>
    <sheet name="MUJIB" sheetId="5" r:id="rId7"/>
    <sheet name="PERVAZ" sheetId="6" r:id="rId8"/>
    <sheet name="AZHAR" sheetId="7" r:id="rId9"/>
    <sheet name="HYDER" sheetId="8" r:id="rId10"/>
    <sheet name="RAFAT" sheetId="9" r:id="rId11"/>
    <sheet name="MOIN" sheetId="10" r:id="rId12"/>
    <sheet name="ANAS" sheetId="11" r:id="rId13"/>
    <sheet name="AZIM" sheetId="12" r:id="rId14"/>
    <sheet name="SONU" sheetId="13" r:id="rId15"/>
    <sheet name="DUBEY JI" sheetId="14" r:id="rId16"/>
    <sheet name="KAMAL" sheetId="15" r:id="rId17"/>
    <sheet name="EJAZ" sheetId="16" r:id="rId18"/>
    <sheet name="NEHAL" sheetId="17" r:id="rId19"/>
    <sheet name="ANUJ" sheetId="18" r:id="rId20"/>
    <sheet name="ATIQUE" sheetId="19" r:id="rId21"/>
    <sheet name="RANJAN" sheetId="20" r:id="rId22"/>
    <sheet name="MANISH" sheetId="21" r:id="rId23"/>
    <sheet name="SUNNY" sheetId="22" r:id="rId24"/>
    <sheet name="NOOR MD." sheetId="23" r:id="rId25"/>
    <sheet name="SS" sheetId="31" r:id="rId26"/>
  </sheets>
  <definedNames>
    <definedName name="_xlnm._FilterDatabase" localSheetId="0" hidden="1">'RENT DATA'!$A$1:$M$34</definedName>
  </definedNames>
  <calcPr calcId="191029"/>
</workbook>
</file>

<file path=xl/calcChain.xml><?xml version="1.0" encoding="utf-8"?>
<calcChain xmlns="http://schemas.openxmlformats.org/spreadsheetml/2006/main">
  <c r="H3" i="23" l="1"/>
  <c r="G3" i="23"/>
  <c r="E3" i="23"/>
  <c r="H3" i="15"/>
  <c r="G3" i="15"/>
  <c r="E3" i="15"/>
  <c r="H3" i="14"/>
  <c r="G3" i="14"/>
  <c r="E3" i="14"/>
  <c r="H3" i="11"/>
  <c r="G3" i="11"/>
  <c r="E3" i="11"/>
  <c r="C35" i="1"/>
  <c r="C32" i="1"/>
  <c r="C29" i="1"/>
  <c r="C36" i="1" s="1"/>
  <c r="C24" i="1"/>
  <c r="C12" i="1"/>
  <c r="G2" i="31"/>
  <c r="E2" i="31"/>
  <c r="H2" i="31" s="1"/>
  <c r="Z6" i="30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1" i="28"/>
  <c r="G20" i="28"/>
  <c r="G19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" i="12"/>
  <c r="E3" i="12"/>
  <c r="H3" i="12" s="1"/>
  <c r="G2" i="23"/>
  <c r="E2" i="23"/>
  <c r="H2" i="23" s="1"/>
  <c r="G2" i="22"/>
  <c r="E2" i="22"/>
  <c r="H2" i="22" s="1"/>
  <c r="G2" i="21"/>
  <c r="E2" i="21"/>
  <c r="H2" i="21" s="1"/>
  <c r="G2" i="20"/>
  <c r="E2" i="20"/>
  <c r="H2" i="20" s="1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H2" i="15" s="1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  <c r="H2" i="5" s="1"/>
  <c r="D5" i="2"/>
  <c r="D1048576" i="2" s="1"/>
</calcChain>
</file>

<file path=xl/sharedStrings.xml><?xml version="1.0" encoding="utf-8"?>
<sst xmlns="http://schemas.openxmlformats.org/spreadsheetml/2006/main" count="766" uniqueCount="245">
  <si>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</si>
  <si>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</si>
  <si>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</si>
  <si>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</si>
  <si>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</si>
  <si>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</si>
  <si>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</si>
  <si>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</si>
  <si>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</si>
  <si>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</si>
  <si>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</si>
  <si>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</si>
  <si>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</si>
  <si>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</si>
  <si>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</si>
  <si>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</si>
  <si>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</si>
  <si>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</si>
  <si>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</si>
  <si>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</si>
  <si>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</si>
  <si>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</si>
  <si>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</si>
  <si>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</si>
  <si>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</si>
  <si>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</si>
  <si>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</si>
  <si>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</si>
  <si>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</si>
  <si>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</si>
  <si>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</si>
  <si>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</si>
  <si>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</si>
  <si>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</si>
  <si>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</si>
  <si>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</si>
  <si>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</si>
  <si>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</si>
  <si>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</si>
  <si>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</si>
  <si>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</si>
  <si>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</si>
  <si>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</si>
  <si>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</si>
  <si>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</si>
  <si>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</si>
  <si>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</si>
  <si>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</si>
  <si>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</si>
  <si>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</si>
  <si>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</si>
  <si>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</si>
  <si>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</si>
  <si>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</si>
  <si>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</si>
  <si>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</si>
  <si>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</si>
  <si>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</si>
  <si>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</si>
  <si>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</si>
  <si>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</si>
  <si>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</si>
  <si>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</si>
  <si>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</si>
  <si>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</si>
  <si>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</si>
  <si>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</si>
  <si>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</si>
  <si>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</si>
  <si>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</si>
  <si>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</si>
  <si>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</si>
  <si>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GRP 5</t>
  </si>
  <si>
    <t>AZHAR</t>
  </si>
  <si>
    <t>GRP 5 Total</t>
  </si>
  <si>
    <t>Grand Total</t>
  </si>
  <si>
    <t>DATE</t>
  </si>
  <si>
    <t>TIME</t>
  </si>
  <si>
    <t>NAME</t>
  </si>
  <si>
    <t>AMOUNT</t>
  </si>
  <si>
    <t>GROUP</t>
  </si>
  <si>
    <t>DUE</t>
  </si>
  <si>
    <t>NIL</t>
  </si>
  <si>
    <t>PERWAZ</t>
  </si>
  <si>
    <t>SALARIES</t>
  </si>
  <si>
    <t xml:space="preserve">CESC / URP </t>
  </si>
  <si>
    <t>CESC / RESD</t>
  </si>
  <si>
    <t>LABOUR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</si>
  <si>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</si>
  <si>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</si>
  <si>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</si>
  <si>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</si>
  <si>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</si>
  <si>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</si>
  <si>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</si>
  <si>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</si>
  <si>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</si>
  <si>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</si>
  <si>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15000 WEEKLY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</si>
  <si>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</si>
  <si>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</si>
  <si>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</si>
  <si>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</si>
  <si>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</si>
  <si>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</si>
  <si>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</si>
  <si>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</si>
  <si>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</si>
  <si>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</si>
  <si>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</si>
  <si>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</si>
  <si>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</si>
  <si>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</si>
  <si>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</si>
  <si>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</si>
  <si>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</si>
  <si>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</si>
  <si>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</si>
  <si>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</si>
  <si>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</si>
  <si>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</si>
  <si>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</si>
  <si>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</si>
  <si>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</si>
  <si>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</si>
  <si>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</si>
  <si>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</si>
  <si>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</si>
  <si>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</si>
  <si>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</si>
  <si>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</si>
  <si>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</si>
  <si>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</si>
  <si>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</si>
  <si>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</si>
  <si>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</si>
  <si>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</si>
  <si>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</si>
  <si>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</si>
  <si>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</si>
  <si>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</si>
  <si>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</si>
  <si>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SHAHNAWAZ</t>
  </si>
  <si>
    <t>2500/WEEKLY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</si>
  <si>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</si>
  <si>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</si>
  <si>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</si>
  <si>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</si>
  <si>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</si>
  <si>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</si>
  <si>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</si>
  <si>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</si>
  <si>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</si>
  <si>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</si>
  <si>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</si>
  <si>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</si>
  <si>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</si>
  <si>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</si>
  <si>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</si>
  <si>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</si>
  <si>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</si>
  <si>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</si>
  <si>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</si>
  <si>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</si>
  <si>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</si>
  <si>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</si>
  <si>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</si>
  <si>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</si>
  <si>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</si>
  <si>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</si>
  <si>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</si>
  <si>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</si>
  <si>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</si>
  <si>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</si>
  <si>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</si>
  <si>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</si>
  <si>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</si>
  <si>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</si>
  <si>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</si>
  <si>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</si>
  <si>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</si>
  <si>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</si>
  <si>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</si>
  <si>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</si>
  <si>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</si>
  <si>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</si>
  <si>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</si>
  <si>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</si>
  <si>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</si>
  <si>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</si>
  <si>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</si>
  <si>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</si>
  <si>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</si>
  <si>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</si>
  <si>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</si>
  <si>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</si>
  <si>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</si>
  <si>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</si>
  <si>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</si>
  <si>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</si>
  <si>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</si>
  <si>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</si>
  <si>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</si>
  <si>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</si>
  <si>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</si>
  <si>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</si>
  <si>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</si>
  <si>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</si>
  <si>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</si>
  <si>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</si>
  <si>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</si>
  <si>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</si>
  <si>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</si>
  <si>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</si>
  <si>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</si>
  <si>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</si>
  <si>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</si>
  <si>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</si>
  <si>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</si>
  <si>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</si>
  <si>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</si>
  <si>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</si>
  <si>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-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</si>
  <si>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</si>
  <si>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</si>
  <si>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</si>
  <si>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</si>
  <si>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</si>
  <si>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</si>
  <si>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</si>
  <si>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</si>
  <si>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</si>
  <si>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</si>
  <si>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MONTH:</t>
  </si>
  <si>
    <t>AUGUST</t>
  </si>
  <si>
    <t>MONTH</t>
  </si>
  <si>
    <t>--- JULY-2026 ---</t>
  </si>
  <si>
    <t>SS</t>
  </si>
  <si>
    <t>WEEKLY</t>
  </si>
  <si>
    <t>--- AUGUST-2026 ---</t>
  </si>
  <si>
    <t>8/1/2026</t>
  </si>
  <si>
    <t>--- 8/1/2026 ---</t>
  </si>
  <si>
    <t>TOTAL FUNDS:</t>
  </si>
  <si>
    <t>USED:</t>
  </si>
  <si>
    <t>LEFT: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</si>
</sst>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dd/mm/yyyy"/>
    <numFmt numFmtId="166" formatCode="[$₹-4009]#,##0.00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1D8EA"/>
        <bgColor indexed="64"/>
      </patternFill>
    </fill>
    <fill>
      <patternFill patternType="solid">
        <fgColor rgb="FFDAEDD4"/>
        <bgColor indexed="64"/>
      </patternFill>
    </fill>
    <fill>
      <patternFill patternType="solid">
        <fgColor rgb="FFF1ECD1"/>
        <bgColor indexed="64"/>
      </patternFill>
    </fill>
    <fill>
      <patternFill patternType="solid">
        <fgColor rgb="FFCDF3FF"/>
        <bgColor indexed="64"/>
      </patternFill>
    </fill>
    <fill>
      <patternFill patternType="solid">
        <fgColor rgb="FFDAD7F8"/>
        <bgColor indexed="64"/>
      </patternFill>
    </fill>
    <fill>
      <patternFill patternType="solid">
        <fgColor rgb="FFF3D9E2"/>
        <bgColor indexed="64"/>
      </patternFill>
    </fill>
    <fill>
      <patternFill patternType="solid">
        <fgColor rgb="FFC4F9FF"/>
        <bgColor indexed="64"/>
      </patternFill>
    </fill>
    <fill>
      <patternFill patternType="solid">
        <fgColor rgb="FFECE4FC"/>
        <bgColor indexed="64"/>
      </patternFill>
    </fill>
    <fill>
      <patternFill patternType="solid">
        <fgColor rgb="FFE9F5E8"/>
        <bgColor indexed="64"/>
      </patternFill>
    </fill>
    <fill>
      <patternFill patternType="solid">
        <fgColor rgb="FFFDF2E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403A3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495057"/>
        <bgColor indexed="64"/>
      </patternFill>
    </fill>
    <fill>
      <patternFill patternType="solid">
        <fgColor rgb="FFFAF9F8"/>
        <bgColor indexed="64"/>
      </patternFill>
    </fill>
  </fills>
  <borders count="4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2" borderId="0" xfId="0" applyFont="1" applyFill="1"/>
    <xf numFmtId="0" fontId="1" fillId="3" borderId="0" xfId="0" applyFont="1" applyFill="1"/>
    <xf numFmtId="0" fontId="0" fillId="3" borderId="0" xfId="0" applyFill="1"/>
    <xf numFmtId="14" fontId="0" fillId="0" borderId="0" xfId="0" applyNumberFormat="1"/>
    <xf numFmtId="18" fontId="0" fillId="0" borderId="0" xfId="0" applyNumberFormat="1"/>
    <xf numFmtId="0" fontId="5" fillId="0" borderId="0" xfId="0" applyFont="1"/>
    <xf numFmtId="0" fontId="5" fillId="3" borderId="0" xfId="0" applyFont="1" applyFill="1"/>
    <xf numFmtId="0" fontId="6" fillId="4" borderId="1" xfId="0" applyFont="1" applyFill="1" applyBorder="1" applyAlignment="1">
      <alignment horizontal="center" vertic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Border="1"/>
    <xf numFmtId="3" fontId="0" fillId="5" borderId="1" xfId="0" applyNumberFormat="1" applyFill="1" applyBorder="1"/>
    <xf numFmtId="3" fontId="0" fillId="0" borderId="1" xfId="0" applyNumberFormat="1" applyBorder="1"/>
    <xf numFmtId="3" fontId="0" fillId="0" borderId="0" xfId="0" applyNumberFormat="1"/>
    <xf numFmtId="0" fontId="7" fillId="0" borderId="0" xfId="0" applyFont="1" applyAlignment="1">
      <alignment horizontal="right"/>
    </xf>
    <xf numFmtId="165" fontId="0" fillId="0" borderId="0" xfId="0" applyNumberFormat="1"/>
    <xf numFmtId="165" fontId="7" fillId="6" borderId="2" xfId="0" applyNumberFormat="1" applyFont="1" applyFill="1" applyBorder="1"/>
    <xf numFmtId="0" fontId="0" fillId="7" borderId="2" xfId="0" applyFill="1" applyBorder="1"/>
    <xf numFmtId="0" fontId="0" fillId="7" borderId="2" xfId="0" applyFill="1" applyBorder="1" applyAlignment="1">
      <alignment horizontal="center"/>
    </xf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0" fontId="0" fillId="12" borderId="2" xfId="0" applyFill="1" applyBorder="1"/>
    <xf numFmtId="0" fontId="0" fillId="13" borderId="2" xfId="0" applyFill="1" applyBorder="1"/>
    <xf numFmtId="0" fontId="0" fillId="14" borderId="2" xfId="0" applyFill="1" applyBorder="1"/>
    <xf numFmtId="0" fontId="0" fillId="15" borderId="2" xfId="0" applyFill="1" applyBorder="1"/>
    <xf numFmtId="0" fontId="0" fillId="16" borderId="2" xfId="0" applyFill="1" applyBorder="1"/>
    <xf numFmtId="14" fontId="0" fillId="7" borderId="2" xfId="0" applyNumberFormat="1" applyFill="1" applyBorder="1" applyAlignment="1">
      <alignment horizontal="center"/>
    </xf>
    <xf numFmtId="14" fontId="0" fillId="13" borderId="2" xfId="0" applyNumberFormat="1" applyFill="1" applyBorder="1"/>
    <xf numFmtId="16" fontId="0" fillId="7" borderId="2" xfId="0" applyNumberFormat="1" applyFill="1" applyBorder="1" applyAlignment="1">
      <alignment horizontal="center"/>
    </xf>
    <xf numFmtId="0" fontId="2" fillId="7" borderId="2" xfId="0" applyFont="1" applyFill="1" applyBorder="1"/>
    <xf numFmtId="0" fontId="2" fillId="7" borderId="2" xfId="0" applyFont="1" applyFill="1" applyBorder="1" applyAlignment="1">
      <alignment horizontal="center"/>
    </xf>
    <xf numFmtId="0" fontId="2" fillId="8" borderId="2" xfId="0" applyFont="1" applyFill="1" applyBorder="1"/>
    <xf numFmtId="0" fontId="2" fillId="9" borderId="2" xfId="0" applyFont="1" applyFill="1" applyBorder="1"/>
    <xf numFmtId="0" fontId="2" fillId="10" borderId="2" xfId="0" applyFont="1" applyFill="1" applyBorder="1"/>
    <xf numFmtId="0" fontId="2" fillId="11" borderId="2" xfId="0" applyFont="1" applyFill="1" applyBorder="1"/>
    <xf numFmtId="0" fontId="2" fillId="12" borderId="2" xfId="0" applyFont="1" applyFill="1" applyBorder="1"/>
    <xf numFmtId="0" fontId="2" fillId="13" borderId="2" xfId="0" applyFont="1" applyFill="1" applyBorder="1"/>
    <xf numFmtId="0" fontId="2" fillId="14" borderId="2" xfId="0" applyFont="1" applyFill="1" applyBorder="1"/>
    <xf numFmtId="0" fontId="2" fillId="15" borderId="2" xfId="0" applyFont="1" applyFill="1" applyBorder="1"/>
    <xf numFmtId="0" fontId="2" fillId="16" borderId="2" xfId="0" applyFont="1" applyFill="1" applyBorder="1"/>
    <xf numFmtId="14" fontId="0" fillId="12" borderId="2" xfId="0" applyNumberFormat="1" applyFill="1" applyBorder="1"/>
    <xf numFmtId="14" fontId="0" fillId="14" borderId="2" xfId="0" applyNumberFormat="1" applyFill="1" applyBorder="1"/>
    <xf numFmtId="0" fontId="3" fillId="16" borderId="2" xfId="0" applyFont="1" applyFill="1" applyBorder="1"/>
    <xf numFmtId="0" fontId="4" fillId="7" borderId="2" xfId="0" applyFont="1" applyFill="1" applyBorder="1"/>
    <xf numFmtId="0" fontId="7" fillId="20" borderId="0" xfId="0" applyFont="1" applyFill="1" applyAlignment="1">
      <alignment horizontal="right" vertical="center"/>
    </xf>
    <xf numFmtId="0" fontId="0" fillId="20" borderId="0" xfId="0" applyFill="1"/>
    <xf numFmtId="49" fontId="7" fillId="17" borderId="2" xfId="0" applyNumberFormat="1" applyFont="1" applyFill="1" applyBorder="1" applyAlignment="1">
      <alignment horizontal="center" vertical="center"/>
    </xf>
    <xf numFmtId="49" fontId="6" fillId="18" borderId="2" xfId="0" applyNumberFormat="1" applyFont="1" applyFill="1" applyBorder="1" applyAlignment="1">
      <alignment horizontal="center" vertical="center"/>
    </xf>
    <xf numFmtId="0" fontId="7" fillId="7" borderId="2" xfId="0" applyFont="1" applyFill="1" applyBorder="1"/>
    <xf numFmtId="0" fontId="7" fillId="7" borderId="2" xfId="0" applyFont="1" applyFill="1" applyBorder="1" applyAlignment="1">
      <alignment horizontal="center"/>
    </xf>
    <xf numFmtId="0" fontId="7" fillId="8" borderId="2" xfId="0" applyFont="1" applyFill="1" applyBorder="1"/>
    <xf numFmtId="0" fontId="7" fillId="9" borderId="2" xfId="0" applyFont="1" applyFill="1" applyBorder="1"/>
    <xf numFmtId="0" fontId="7" fillId="10" borderId="2" xfId="0" applyFont="1" applyFill="1" applyBorder="1"/>
    <xf numFmtId="0" fontId="7" fillId="11" borderId="2" xfId="0" applyFont="1" applyFill="1" applyBorder="1"/>
    <xf numFmtId="0" fontId="7" fillId="12" borderId="2" xfId="0" applyFont="1" applyFill="1" applyBorder="1"/>
    <xf numFmtId="0" fontId="7" fillId="13" borderId="2" xfId="0" applyFont="1" applyFill="1" applyBorder="1"/>
    <xf numFmtId="0" fontId="7" fillId="14" borderId="2" xfId="0" applyFont="1" applyFill="1" applyBorder="1"/>
    <xf numFmtId="0" fontId="7" fillId="15" borderId="2" xfId="0" applyFont="1" applyFill="1" applyBorder="1"/>
    <xf numFmtId="0" fontId="7" fillId="16" borderId="2" xfId="0" applyFont="1" applyFill="1" applyBorder="1"/>
    <xf numFmtId="0" fontId="7" fillId="0" borderId="0" xfId="0" applyFont="1"/>
    <xf numFmtId="0" fontId="2" fillId="0" borderId="0" xfId="0" applyFont="1"/>
    <xf numFmtId="0" fontId="0" fillId="0" borderId="2" xfId="0" applyBorder="1"/>
    <xf numFmtId="17" fontId="0" fillId="19" borderId="2" xfId="0" applyNumberFormat="1" applyFill="1" applyBorder="1"/>
    <xf numFmtId="14" fontId="0" fillId="0" borderId="2" xfId="0" applyNumberFormat="1" applyBorder="1"/>
    <xf numFmtId="14" fontId="0" fillId="19" borderId="2" xfId="0" applyNumberFormat="1" applyFill="1" applyBorder="1"/>
    <xf numFmtId="0" fontId="8" fillId="18" borderId="2" xfId="0" applyFont="1" applyFill="1" applyBorder="1" applyAlignment="1">
      <alignment horizontal="center" vertical="center"/>
    </xf>
    <xf numFmtId="166" fontId="2" fillId="22" borderId="2" xfId="0" applyNumberFormat="1" applyFont="1" applyFill="1" applyBorder="1" applyAlignment="1">
      <alignment horizontal="right" vertical="center"/>
    </xf>
    <xf numFmtId="0" fontId="6" fillId="21" borderId="3" xfId="0" applyFont="1" applyFill="1" applyBorder="1" applyAlignment="1">
      <alignment horizontal="center" vertical="center"/>
    </xf>
    <xf numFmtId="0" fontId="6" fillId="21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numFmt numFmtId="165" formatCode="dd/mm/yyyy"/>
    </dxf>
    <dxf>
      <numFmt numFmtId="167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S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en-AS" sz="14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63500</xdr:rowOff>
    </xdr:from>
    <xdr:to>
      <xdr:col>6</xdr:col>
      <xdr:colOff>0</xdr:colOff>
      <xdr:row>0</xdr:row>
      <xdr:rowOff>381000</xdr:rowOff>
    </xdr:to>
    <xdr:sp macro="SaveMonthlyExpenditures" textlink="">
      <xdr:nvSpPr>
        <xdr:cNvPr id="3" name="Rectangle 2">
          <a:extLst>
            <a:ext uri="{FF2B5EF4-FFF2-40B4-BE49-F238E27FC236}">
              <a16:creationId xmlns:a16="http://schemas.microsoft.com/office/drawing/2014/main" id="{D8EDB369-11D2-FA07-3948-BE6F3483C6FD}"/>
            </a:ext>
          </a:extLst>
        </xdr:cNvPr>
        <xdr:cNvSpPr/>
      </xdr:nvSpPr>
      <xdr:spPr>
        <a:xfrm>
          <a:off x="4991100" y="63500"/>
          <a:ext cx="2495550" cy="317500"/>
        </a:xfrm>
        <a:prstGeom prst="rect">
          <a:avLst/>
        </a:prstGeom>
        <a:solidFill>
          <a:srgbClr val="347E1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SAVE MONTH</a:t>
          </a:r>
          <a:endParaRPr lang="en-AS" sz="1000" b="1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0</xdr:colOff>
      <xdr:row>0</xdr:row>
      <xdr:rowOff>63500</xdr:rowOff>
    </xdr:from>
    <xdr:to>
      <xdr:col>8</xdr:col>
      <xdr:colOff>0</xdr:colOff>
      <xdr:row>0</xdr:row>
      <xdr:rowOff>381000</xdr:rowOff>
    </xdr:to>
    <xdr:sp macro="LoadMonthlyExpenditures" textlink="">
      <xdr:nvSpPr>
        <xdr:cNvPr id="4" name="Rectangle 3">
          <a:extLst>
            <a:ext uri="{FF2B5EF4-FFF2-40B4-BE49-F238E27FC236}">
              <a16:creationId xmlns:a16="http://schemas.microsoft.com/office/drawing/2014/main" id="{8CD18525-18CA-67F1-EB38-DFDAEB00C4CB}"/>
            </a:ext>
          </a:extLst>
        </xdr:cNvPr>
        <xdr:cNvSpPr/>
      </xdr:nvSpPr>
      <xdr:spPr>
        <a:xfrm>
          <a:off x="7486650" y="63500"/>
          <a:ext cx="1219200" cy="317500"/>
        </a:xfrm>
        <a:prstGeom prst="rect">
          <a:avLst/>
        </a:prstGeom>
        <a:solidFill>
          <a:srgbClr val="D96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LOAD MONTH</a:t>
          </a:r>
          <a:endParaRPr lang="en-AS" sz="1000" b="1">
            <a:solidFill>
              <a:srgbClr val="FFFFFF"/>
            </a:solidFill>
          </a:endParaRPr>
        </a:p>
      </xdr:txBody>
    </xdr:sp>
    <xdr:clientData/>
  </xdr:twoCellAnchor>
  <xdr:twoCellAnchor>
    <xdr:from>
      <xdr:col>8</xdr:col>
      <xdr:colOff>25400</xdr:colOff>
      <xdr:row>0</xdr:row>
      <xdr:rowOff>25400</xdr:rowOff>
    </xdr:from>
    <xdr:to>
      <xdr:col>8</xdr:col>
      <xdr:colOff>584200</xdr:colOff>
      <xdr:row>0</xdr:row>
      <xdr:rowOff>412750</xdr:rowOff>
    </xdr:to>
    <xdr:sp macro="ModExpenditureSystem.AutoPaySalaries" textlink="">
      <xdr:nvSpPr>
        <xdr:cNvPr id="2" name="BtnAutoPay">
          <a:extLst>
            <a:ext uri="{FF2B5EF4-FFF2-40B4-BE49-F238E27FC236}">
              <a16:creationId xmlns:a16="http://schemas.microsoft.com/office/drawing/2014/main" id="{3B7399FC-126E-F666-2949-E3F765F4100B}"/>
            </a:ext>
          </a:extLst>
        </xdr:cNvPr>
        <xdr:cNvSpPr/>
      </xdr:nvSpPr>
      <xdr:spPr>
        <a:xfrm>
          <a:off x="8731250" y="25400"/>
          <a:ext cx="558800" cy="387350"/>
        </a:xfrm>
        <a:prstGeom prst="rect">
          <a:avLst/>
        </a:prstGeom>
        <a:solidFill>
          <a:srgbClr val="07C1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AUTO-PAY
SALARIES</a:t>
          </a:r>
          <a:endParaRPr lang="en-AS" sz="9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43CAB1-1760-42A1-A11E-F73AF24B692A}" name="EntryFormTable" displayName="EntryFormTable" ref="A3:G54" totalsRowShown="0">
  <autoFilter ref="A3:G54" xr:uid="{CE43CAB1-1760-42A1-A11E-F73AF24B692A}"/>
  <tableColumns count="7">
    <tableColumn id="1" xr3:uid="{1F5B7037-25A6-44B2-984A-8A4F86DBEC85}" name="GROUP / FOR"/>
    <tableColumn id="2" xr3:uid="{EA12935C-CC11-427C-9012-F9911E20167D}" name="ITEM NAME"/>
    <tableColumn id="3" xr3:uid="{667A8B31-115B-4091-B2B2-3A7DDCB53861}" name="QTY (KG)"/>
    <tableColumn id="4" xr3:uid="{78020198-A643-4F27-9BA2-507DF0A1A3AE}" name="QTY (PCS)"/>
    <tableColumn id="5" xr3:uid="{AD965CBE-CFD5-4CA8-8865-5F376980E907}" name="RATE"/>
    <tableColumn id="6" xr3:uid="{A56D1D5B-C904-4072-82BD-167CB5592E59}" name="TRSP"/>
    <tableColumn id="7" xr3:uid="{169EE09A-2923-4BD9-974A-F5C4C378941B}" name="TOTAL AMOUNT">
      <calculatedColumnFormula>IF(SUM(C4:D4, F4)&gt;0, (C4+D4)*E4+F4,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C5F1CA-E0CC-455F-8F7E-581EEC458565}" name="DailyPurchaseLedger" displayName="DailyPurchaseLedger" ref="A1:H55" totalsRowShown="0">
  <autoFilter ref="A1:H55" xr:uid="{4AC5F1CA-E0CC-455F-8F7E-581EEC458565}"/>
  <tableColumns count="8">
    <tableColumn id="1" xr3:uid="{B7D7244E-C98F-4571-B22F-F25A02DFDC28}" name="DATE" dataDxfId="0"/>
    <tableColumn id="2" xr3:uid="{9F6AC124-BE84-4BA4-B7A1-9B521DA04A42}" name="GROUP / FOR"/>
    <tableColumn id="3" xr3:uid="{348ECE13-FFDA-4488-B4CA-3651B80A7A53}" name="ITEM NAME"/>
    <tableColumn id="4" xr3:uid="{102FC8A1-0D54-466A-898A-097F1ECB1419}" name="QTY (KG)"/>
    <tableColumn id="5" xr3:uid="{8E872F15-A9DE-4F2D-9408-41165BF28CD6}" name="QTY (PCS)"/>
    <tableColumn id="6" xr3:uid="{0E2A28CE-A640-4D79-882F-498192E120B2}" name="RATE"/>
    <tableColumn id="7" xr3:uid="{94BB384A-2511-4412-B55A-E4AB993D8309}" name="TRSP"/>
    <tableColumn id="8" xr3:uid="{E0197E3A-DDC3-47AB-A9CB-54F37687F7E6}" name="TOTAL 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N37"/>
  <sheetViews>
    <sheetView showOutlineSymbols="0" zoomScaleNormal="100" workbookViewId="0">
      <selection activeCell="L23" sqref="A18:L23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10" max="10" width="12.140625" bestFit="1" customWidth="1"/>
    <col min="11" max="11" width="14.42578125" bestFit="1" customWidth="1"/>
    <col min="12" max="12" width="20.140625" bestFit="1" customWidth="1"/>
    <col min="13" max="13" width="15.85546875" bestFit="1" customWidth="1"/>
    <col min="14" max="14" width="11.7109375" bestFit="1" customWidth="1"/>
  </cols>
  <sheetData>
    <row r="1" spans="1:14" s="3" customFormat="1" ht="24.9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J1" s="8" t="s">
        <v>80</v>
      </c>
      <c r="K1" s="8" t="s">
        <v>221</v>
      </c>
      <c r="L1" s="8" t="s">
        <v>218</v>
      </c>
      <c r="M1" s="8" t="s">
        <v>219</v>
      </c>
      <c r="N1" s="8" t="s">
        <v>220</v>
      </c>
    </row>
    <row r="2" spans="1:14" outlineLevel="2" x14ac:dyDescent="0.25">
      <c r="A2" t="s">
        <v>7</v>
      </c>
      <c r="B2" t="s">
        <v>8</v>
      </c>
      <c r="C2">
        <v>35000</v>
      </c>
      <c r="D2" t="s">
        <v>9</v>
      </c>
      <c r="E2" t="s">
        <v>10</v>
      </c>
      <c r="J2" s="9" t="s">
        <v>10</v>
      </c>
      <c r="K2" s="10">
        <v>46239</v>
      </c>
      <c r="L2" s="12">
        <v>246600</v>
      </c>
      <c r="M2" s="12">
        <v>246600</v>
      </c>
      <c r="N2" s="12">
        <v>0</v>
      </c>
    </row>
    <row r="3" spans="1:14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  <c r="J3" s="11" t="s">
        <v>32</v>
      </c>
      <c r="K3" s="11" t="s">
        <v>222</v>
      </c>
      <c r="L3" s="13">
        <v>420500</v>
      </c>
      <c r="M3" s="13">
        <v>0</v>
      </c>
      <c r="N3" s="13">
        <v>420500</v>
      </c>
    </row>
    <row r="4" spans="1:14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  <c r="J4" s="9" t="s">
        <v>57</v>
      </c>
      <c r="K4" s="9" t="s">
        <v>222</v>
      </c>
      <c r="L4" s="12">
        <v>67000</v>
      </c>
      <c r="M4" s="12">
        <v>0</v>
      </c>
      <c r="N4" s="12">
        <v>67000</v>
      </c>
    </row>
    <row r="5" spans="1:14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  <c r="J5" s="11" t="s">
        <v>67</v>
      </c>
      <c r="K5" s="11" t="s">
        <v>222</v>
      </c>
      <c r="L5" s="13">
        <v>52500</v>
      </c>
      <c r="M5" s="13">
        <v>0</v>
      </c>
      <c r="N5" s="13">
        <v>52500</v>
      </c>
    </row>
    <row r="6" spans="1:14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  <c r="J6" s="9" t="s">
        <v>72</v>
      </c>
      <c r="K6" s="9" t="s">
        <v>222</v>
      </c>
      <c r="L6" s="12">
        <v>56500</v>
      </c>
      <c r="M6" s="12">
        <v>0</v>
      </c>
      <c r="N6" s="12">
        <v>56500</v>
      </c>
    </row>
    <row r="7" spans="1:14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  <c r="L7" s="14"/>
      <c r="M7" s="14"/>
      <c r="N7" s="14"/>
    </row>
    <row r="8" spans="1:14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</row>
    <row r="9" spans="1:14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</row>
    <row r="10" spans="1:14" outlineLevel="2" x14ac:dyDescent="0.25">
      <c r="A10" t="s">
        <v>25</v>
      </c>
      <c r="B10" t="s">
        <v>8</v>
      </c>
      <c r="C10">
        <v>20000</v>
      </c>
      <c r="D10" t="s">
        <v>26</v>
      </c>
      <c r="E10" t="s">
        <v>10</v>
      </c>
    </row>
    <row r="11" spans="1:14" outlineLevel="2" x14ac:dyDescent="0.25">
      <c r="A11" t="s">
        <v>27</v>
      </c>
      <c r="B11" t="s">
        <v>8</v>
      </c>
      <c r="C11">
        <v>13000</v>
      </c>
      <c r="D11" t="s">
        <v>28</v>
      </c>
      <c r="E11" t="s">
        <v>10</v>
      </c>
    </row>
    <row r="12" spans="1:14" outlineLevel="1" x14ac:dyDescent="0.25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</row>
    <row r="13" spans="1:14" outlineLevel="2" x14ac:dyDescent="0.25">
      <c r="A13" t="s">
        <v>30</v>
      </c>
      <c r="B13" t="s">
        <v>8</v>
      </c>
      <c r="C13">
        <v>70000</v>
      </c>
      <c r="D13" t="s">
        <v>31</v>
      </c>
      <c r="E13" t="s">
        <v>32</v>
      </c>
    </row>
    <row r="14" spans="1:14" outlineLevel="2" x14ac:dyDescent="0.25">
      <c r="A14" t="s">
        <v>33</v>
      </c>
      <c r="B14" t="s">
        <v>12</v>
      </c>
      <c r="C14">
        <v>45000</v>
      </c>
      <c r="D14" t="s">
        <v>34</v>
      </c>
      <c r="E14" t="s">
        <v>32</v>
      </c>
    </row>
    <row r="15" spans="1:14" outlineLevel="2" x14ac:dyDescent="0.25">
      <c r="A15" t="s">
        <v>35</v>
      </c>
      <c r="B15" t="s">
        <v>8</v>
      </c>
      <c r="C15">
        <v>75000</v>
      </c>
      <c r="D15" t="s">
        <v>36</v>
      </c>
      <c r="E15" t="s">
        <v>32</v>
      </c>
    </row>
    <row r="16" spans="1:14" outlineLevel="2" x14ac:dyDescent="0.25">
      <c r="A16" t="s">
        <v>37</v>
      </c>
      <c r="B16" t="s">
        <v>8</v>
      </c>
      <c r="C16">
        <v>27500</v>
      </c>
      <c r="D16" t="s">
        <v>38</v>
      </c>
      <c r="E16" t="s">
        <v>32</v>
      </c>
    </row>
    <row r="17" spans="1:7" outlineLevel="2" x14ac:dyDescent="0.25">
      <c r="A17" t="s">
        <v>39</v>
      </c>
      <c r="B17" t="s">
        <v>8</v>
      </c>
      <c r="C17">
        <v>35000</v>
      </c>
      <c r="D17" t="s">
        <v>40</v>
      </c>
      <c r="E17" t="s">
        <v>32</v>
      </c>
    </row>
    <row r="18" spans="1:7" outlineLevel="2" x14ac:dyDescent="0.25">
      <c r="A18" t="s">
        <v>41</v>
      </c>
      <c r="B18" t="s">
        <v>12</v>
      </c>
      <c r="C18">
        <v>30000</v>
      </c>
      <c r="D18" t="s">
        <v>42</v>
      </c>
      <c r="E18" t="s">
        <v>32</v>
      </c>
    </row>
    <row r="19" spans="1:7" outlineLevel="2" x14ac:dyDescent="0.25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</row>
    <row r="20" spans="1:7" outlineLevel="2" x14ac:dyDescent="0.25">
      <c r="A20" t="s">
        <v>46</v>
      </c>
      <c r="B20" t="s">
        <v>8</v>
      </c>
      <c r="C20">
        <v>19000</v>
      </c>
      <c r="D20" t="s">
        <v>47</v>
      </c>
      <c r="E20" t="s">
        <v>32</v>
      </c>
    </row>
    <row r="21" spans="1:7" outlineLevel="2" x14ac:dyDescent="0.25">
      <c r="A21" t="s">
        <v>48</v>
      </c>
      <c r="B21" t="s">
        <v>8</v>
      </c>
      <c r="C21">
        <v>38000</v>
      </c>
      <c r="D21" t="s">
        <v>49</v>
      </c>
      <c r="E21" t="s">
        <v>32</v>
      </c>
    </row>
    <row r="22" spans="1:7" outlineLevel="2" x14ac:dyDescent="0.25">
      <c r="A22" t="s">
        <v>50</v>
      </c>
      <c r="B22" t="s">
        <v>8</v>
      </c>
      <c r="C22">
        <v>16000</v>
      </c>
      <c r="D22" t="s">
        <v>51</v>
      </c>
      <c r="E22" t="s">
        <v>32</v>
      </c>
    </row>
    <row r="23" spans="1:7" outlineLevel="2" x14ac:dyDescent="0.25">
      <c r="A23" t="s">
        <v>52</v>
      </c>
      <c r="B23" t="s">
        <v>12</v>
      </c>
      <c r="C23">
        <v>45000</v>
      </c>
      <c r="D23" t="s">
        <v>53</v>
      </c>
      <c r="E23" t="s">
        <v>32</v>
      </c>
    </row>
    <row r="24" spans="1:7" outlineLevel="1" x14ac:dyDescent="0.25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</row>
    <row r="25" spans="1:7" outlineLevel="2" x14ac:dyDescent="0.25">
      <c r="A25" t="s">
        <v>55</v>
      </c>
      <c r="B25" t="s">
        <v>12</v>
      </c>
      <c r="C25">
        <v>14000</v>
      </c>
      <c r="D25" t="s">
        <v>56</v>
      </c>
      <c r="E25" t="s">
        <v>57</v>
      </c>
    </row>
    <row r="26" spans="1:7" outlineLevel="2" x14ac:dyDescent="0.25">
      <c r="A26" t="s">
        <v>58</v>
      </c>
      <c r="B26" t="s">
        <v>8</v>
      </c>
      <c r="C26">
        <v>25000</v>
      </c>
      <c r="D26" t="s">
        <v>17</v>
      </c>
      <c r="E26" t="s">
        <v>57</v>
      </c>
    </row>
    <row r="27" spans="1:7" outlineLevel="2" x14ac:dyDescent="0.25">
      <c r="A27" t="s">
        <v>59</v>
      </c>
      <c r="B27" t="s">
        <v>60</v>
      </c>
      <c r="C27">
        <v>15000</v>
      </c>
      <c r="D27" t="s">
        <v>61</v>
      </c>
      <c r="E27" t="s">
        <v>57</v>
      </c>
    </row>
    <row r="28" spans="1:7" outlineLevel="2" x14ac:dyDescent="0.25">
      <c r="A28" t="s">
        <v>62</v>
      </c>
      <c r="B28" t="s">
        <v>12</v>
      </c>
      <c r="C28">
        <v>13000</v>
      </c>
      <c r="D28" t="s">
        <v>63</v>
      </c>
      <c r="E28" t="s">
        <v>57</v>
      </c>
    </row>
    <row r="29" spans="1:7" outlineLevel="1" x14ac:dyDescent="0.25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</row>
    <row r="30" spans="1:7" outlineLevel="2" x14ac:dyDescent="0.25">
      <c r="A30" t="s">
        <v>65</v>
      </c>
      <c r="B30" t="s">
        <v>8</v>
      </c>
      <c r="C30">
        <v>27500</v>
      </c>
      <c r="D30" t="s">
        <v>66</v>
      </c>
      <c r="E30" t="s">
        <v>67</v>
      </c>
    </row>
    <row r="31" spans="1:7" outlineLevel="2" x14ac:dyDescent="0.25">
      <c r="A31" t="s">
        <v>68</v>
      </c>
      <c r="B31" t="s">
        <v>12</v>
      </c>
      <c r="C31">
        <v>25000</v>
      </c>
      <c r="D31" t="s">
        <v>47</v>
      </c>
      <c r="E31" t="s">
        <v>67</v>
      </c>
    </row>
    <row r="32" spans="1:7" outlineLevel="1" x14ac:dyDescent="0.25">
      <c r="A32" s="1"/>
      <c r="B32" s="1"/>
      <c r="C32" s="1">
        <f>SUBTOTAL(9,C30:C31)</f>
        <v>52500</v>
      </c>
      <c r="D32" s="1"/>
      <c r="E32" s="1" t="s">
        <v>69</v>
      </c>
      <c r="F32" s="1"/>
      <c r="G32" s="1"/>
    </row>
    <row r="33" spans="1:7" outlineLevel="2" x14ac:dyDescent="0.25">
      <c r="A33" t="s">
        <v>70</v>
      </c>
      <c r="B33" t="s">
        <v>12</v>
      </c>
      <c r="C33">
        <v>45000</v>
      </c>
      <c r="D33" t="s">
        <v>71</v>
      </c>
      <c r="E33" t="s">
        <v>72</v>
      </c>
    </row>
    <row r="34" spans="1:7" outlineLevel="2" x14ac:dyDescent="0.25">
      <c r="A34" t="s">
        <v>73</v>
      </c>
      <c r="B34" t="s">
        <v>12</v>
      </c>
      <c r="C34">
        <v>11500</v>
      </c>
      <c r="D34" t="s">
        <v>26</v>
      </c>
      <c r="E34" t="s">
        <v>72</v>
      </c>
    </row>
    <row r="35" spans="1:7" outlineLevel="1" x14ac:dyDescent="0.25">
      <c r="A35" s="1"/>
      <c r="B35" s="1"/>
      <c r="C35" s="1">
        <f>SUBTOTAL(9,C33:C34)</f>
        <v>56500</v>
      </c>
      <c r="D35" s="1"/>
      <c r="E35" s="1" t="s">
        <v>74</v>
      </c>
      <c r="F35" s="1"/>
      <c r="G35" s="1"/>
    </row>
    <row r="36" spans="1:7" x14ac:dyDescent="0.25">
      <c r="A36" s="1"/>
      <c r="B36" s="1"/>
      <c r="C36" s="1">
        <f>SUBTOTAL(9,C2:C34)</f>
        <v>843100</v>
      </c>
      <c r="D36" s="1"/>
      <c r="E36" s="1" t="s">
        <v>75</v>
      </c>
      <c r="F36" s="1"/>
      <c r="G36" s="1"/>
    </row>
    <row r="37" spans="1:7" outlineLevel="1" x14ac:dyDescent="0.25"/>
  </sheetData>
  <autoFilter ref="A1:M34" xr:uid="{00000000-0001-0000-0000-000000000000}"/>
  <sortState xmlns:xlrd2="http://schemas.microsoft.com/office/spreadsheetml/2017/richdata2" ref="A2:G34">
    <sortCondition ref="E2:E3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48576"/>
  <sheetViews>
    <sheetView zoomScale="130" zoomScaleNormal="130"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77</v>
      </c>
      <c r="C1" s="3" t="s">
        <v>78</v>
      </c>
      <c r="D1" s="3" t="s">
        <v>79</v>
      </c>
      <c r="E1" s="3" t="s">
        <v>80</v>
      </c>
      <c r="F1" s="3" t="s">
        <v>81</v>
      </c>
    </row>
    <row r="2" spans="1:6" x14ac:dyDescent="0.25">
      <c r="A2" s="4">
        <v>46232</v>
      </c>
      <c r="B2" s="5">
        <v>0.625</v>
      </c>
      <c r="C2" t="s">
        <v>39</v>
      </c>
      <c r="D2">
        <v>27500</v>
      </c>
      <c r="E2" t="s">
        <v>67</v>
      </c>
      <c r="F2" t="s">
        <v>82</v>
      </c>
    </row>
    <row r="3" spans="1:6" x14ac:dyDescent="0.25">
      <c r="A3" s="4">
        <v>46233</v>
      </c>
      <c r="B3" s="5">
        <v>0.79166666666666663</v>
      </c>
      <c r="C3" t="s">
        <v>83</v>
      </c>
      <c r="D3">
        <v>30000</v>
      </c>
      <c r="E3" t="s">
        <v>67</v>
      </c>
      <c r="F3" t="s">
        <v>82</v>
      </c>
    </row>
    <row r="4" spans="1:6" x14ac:dyDescent="0.25">
      <c r="C4" t="s">
        <v>73</v>
      </c>
      <c r="E4" t="s">
        <v>67</v>
      </c>
      <c r="F4">
        <v>11500</v>
      </c>
    </row>
    <row r="5" spans="1:6" x14ac:dyDescent="0.25">
      <c r="D5">
        <f>SUM(D2:D4)</f>
        <v>57500</v>
      </c>
    </row>
    <row r="1048576" spans="4:4" x14ac:dyDescent="0.25">
      <c r="D1048576">
        <f>SUM(D2:D1048575)</f>
        <v>115000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9E3E-0D81-4DF9-83EF-41B5C1806272}">
  <sheetPr codeName="Sheet28"/>
  <dimension ref="A1:G54"/>
  <sheetViews>
    <sheetView showGridLines="0" zoomScale="85" zoomScaleNormal="85" workbookViewId="0">
      <selection activeCell="H24" sqref="H24"/>
    </sheetView>
  </sheetViews>
  <sheetFormatPr defaultRowHeight="15" x14ac:dyDescent="0.25"/>
  <cols>
    <col min="1" max="2" width="20.7109375" customWidth="1"/>
    <col min="3" max="7" width="15.7109375" customWidth="1"/>
  </cols>
  <sheetData>
    <row r="1" spans="1:7" ht="30" customHeight="1" x14ac:dyDescent="0.25">
      <c r="B1" s="15" t="s">
        <v>231</v>
      </c>
      <c r="C1" s="17">
        <v>46240</v>
      </c>
    </row>
    <row r="2" spans="1:7" ht="30" customHeight="1" x14ac:dyDescent="0.25"/>
    <row r="3" spans="1:7" x14ac:dyDescent="0.25">
      <c r="A3" t="s">
        <v>223</v>
      </c>
      <c r="B3" t="s">
        <v>224</v>
      </c>
      <c r="C3" t="s">
        <v>225</v>
      </c>
      <c r="D3" t="s">
        <v>226</v>
      </c>
      <c r="E3" t="s">
        <v>144</v>
      </c>
      <c r="F3" t="s">
        <v>145</v>
      </c>
      <c r="G3" t="s">
        <v>218</v>
      </c>
    </row>
    <row r="4" spans="1:7" x14ac:dyDescent="0.25">
      <c r="A4" t="s">
        <v>147</v>
      </c>
      <c r="B4" t="s">
        <v>148</v>
      </c>
      <c r="E4">
        <v>0</v>
      </c>
      <c r="G4" t="str">
        <f t="shared" ref="G4:G35" si="0">IF(SUM(C4:D4, F4)&gt;0, (C4+D4)*E4+F4, "")</f>
        <v/>
      </c>
    </row>
    <row r="5" spans="1:7" x14ac:dyDescent="0.25">
      <c r="B5" t="s">
        <v>149</v>
      </c>
      <c r="E5">
        <v>0</v>
      </c>
      <c r="G5" t="str">
        <f t="shared" si="0"/>
        <v/>
      </c>
    </row>
    <row r="6" spans="1:7" x14ac:dyDescent="0.25">
      <c r="B6" t="s">
        <v>150</v>
      </c>
      <c r="E6">
        <v>0</v>
      </c>
      <c r="G6" t="str">
        <f t="shared" si="0"/>
        <v/>
      </c>
    </row>
    <row r="7" spans="1:7" x14ac:dyDescent="0.25">
      <c r="B7" t="s">
        <v>151</v>
      </c>
      <c r="E7">
        <v>0</v>
      </c>
      <c r="G7" t="str">
        <f t="shared" si="0"/>
        <v/>
      </c>
    </row>
    <row r="8" spans="1:7" x14ac:dyDescent="0.25">
      <c r="A8" t="s">
        <v>152</v>
      </c>
      <c r="B8" t="s">
        <v>153</v>
      </c>
      <c r="E8">
        <v>0</v>
      </c>
      <c r="G8" t="str">
        <f t="shared" si="0"/>
        <v/>
      </c>
    </row>
    <row r="9" spans="1:7" x14ac:dyDescent="0.25">
      <c r="B9" t="s">
        <v>154</v>
      </c>
      <c r="E9">
        <v>0</v>
      </c>
      <c r="G9" t="str">
        <f t="shared" si="0"/>
        <v/>
      </c>
    </row>
    <row r="10" spans="1:7" x14ac:dyDescent="0.25">
      <c r="B10" t="s">
        <v>155</v>
      </c>
      <c r="E10">
        <v>0</v>
      </c>
      <c r="G10" t="str">
        <f t="shared" si="0"/>
        <v/>
      </c>
    </row>
    <row r="11" spans="1:7" x14ac:dyDescent="0.25">
      <c r="B11" t="s">
        <v>156</v>
      </c>
      <c r="E11">
        <v>0</v>
      </c>
      <c r="G11" t="str">
        <f t="shared" si="0"/>
        <v/>
      </c>
    </row>
    <row r="12" spans="1:7" x14ac:dyDescent="0.25">
      <c r="B12" t="s">
        <v>157</v>
      </c>
      <c r="E12">
        <v>0</v>
      </c>
      <c r="G12" t="str">
        <f t="shared" si="0"/>
        <v/>
      </c>
    </row>
    <row r="13" spans="1:7" x14ac:dyDescent="0.25">
      <c r="B13" t="s">
        <v>158</v>
      </c>
      <c r="E13">
        <v>0</v>
      </c>
      <c r="G13" t="str">
        <f t="shared" si="0"/>
        <v/>
      </c>
    </row>
    <row r="14" spans="1:7" x14ac:dyDescent="0.25">
      <c r="B14" t="s">
        <v>159</v>
      </c>
      <c r="E14">
        <v>0</v>
      </c>
      <c r="G14" t="str">
        <f t="shared" si="0"/>
        <v/>
      </c>
    </row>
    <row r="15" spans="1:7" x14ac:dyDescent="0.25">
      <c r="B15" t="s">
        <v>160</v>
      </c>
      <c r="E15">
        <v>0</v>
      </c>
      <c r="G15" t="str">
        <f t="shared" si="0"/>
        <v/>
      </c>
    </row>
    <row r="16" spans="1:7" x14ac:dyDescent="0.25">
      <c r="A16" t="s">
        <v>161</v>
      </c>
      <c r="B16" t="s">
        <v>162</v>
      </c>
      <c r="E16">
        <v>400</v>
      </c>
      <c r="G16" t="str">
        <f t="shared" si="0"/>
        <v/>
      </c>
    </row>
    <row r="17" spans="1:7" x14ac:dyDescent="0.25">
      <c r="B17" t="s">
        <v>227</v>
      </c>
      <c r="E17">
        <v>300</v>
      </c>
      <c r="G17" t="str">
        <f t="shared" si="0"/>
        <v/>
      </c>
    </row>
    <row r="18" spans="1:7" x14ac:dyDescent="0.25">
      <c r="B18" t="s">
        <v>229</v>
      </c>
      <c r="C18">
        <v>2</v>
      </c>
      <c r="E18">
        <v>270</v>
      </c>
      <c r="G18">
        <v>540</v>
      </c>
    </row>
    <row r="19" spans="1:7" x14ac:dyDescent="0.25">
      <c r="B19" t="s">
        <v>230</v>
      </c>
      <c r="E19">
        <v>0</v>
      </c>
      <c r="G19" t="str">
        <f t="shared" si="0"/>
        <v/>
      </c>
    </row>
    <row r="20" spans="1:7" x14ac:dyDescent="0.25">
      <c r="B20" t="s">
        <v>164</v>
      </c>
      <c r="E20">
        <v>0</v>
      </c>
      <c r="G20" t="str">
        <f t="shared" si="0"/>
        <v/>
      </c>
    </row>
    <row r="21" spans="1:7" x14ac:dyDescent="0.25">
      <c r="B21" t="s">
        <v>165</v>
      </c>
      <c r="E21">
        <v>0</v>
      </c>
      <c r="G21" t="str">
        <f t="shared" si="0"/>
        <v/>
      </c>
    </row>
    <row r="22" spans="1:7" x14ac:dyDescent="0.25">
      <c r="B22" t="s">
        <v>166</v>
      </c>
      <c r="C22">
        <v>4.2</v>
      </c>
      <c r="E22">
        <v>350</v>
      </c>
      <c r="F22">
        <v>70</v>
      </c>
      <c r="G22">
        <v>1540</v>
      </c>
    </row>
    <row r="23" spans="1:7" x14ac:dyDescent="0.25">
      <c r="A23" t="s">
        <v>167</v>
      </c>
      <c r="B23" t="s">
        <v>146</v>
      </c>
      <c r="E23">
        <v>0</v>
      </c>
      <c r="G23" t="str">
        <f t="shared" si="0"/>
        <v/>
      </c>
    </row>
    <row r="24" spans="1:7" x14ac:dyDescent="0.25">
      <c r="B24" t="s">
        <v>168</v>
      </c>
      <c r="E24">
        <v>0</v>
      </c>
      <c r="G24" t="str">
        <f t="shared" si="0"/>
        <v/>
      </c>
    </row>
    <row r="25" spans="1:7" x14ac:dyDescent="0.25">
      <c r="B25" t="s">
        <v>169</v>
      </c>
      <c r="E25">
        <v>0</v>
      </c>
      <c r="G25" t="str">
        <f t="shared" si="0"/>
        <v/>
      </c>
    </row>
    <row r="26" spans="1:7" x14ac:dyDescent="0.25">
      <c r="B26" t="s">
        <v>170</v>
      </c>
      <c r="E26">
        <v>0</v>
      </c>
      <c r="G26" t="str">
        <f t="shared" si="0"/>
        <v/>
      </c>
    </row>
    <row r="27" spans="1:7" x14ac:dyDescent="0.25">
      <c r="B27" t="s">
        <v>171</v>
      </c>
      <c r="E27">
        <v>0</v>
      </c>
      <c r="G27" t="str">
        <f t="shared" si="0"/>
        <v/>
      </c>
    </row>
    <row r="28" spans="1:7" x14ac:dyDescent="0.25">
      <c r="A28" t="s">
        <v>172</v>
      </c>
      <c r="B28" t="s">
        <v>228</v>
      </c>
      <c r="E28">
        <v>0</v>
      </c>
      <c r="G28" t="str">
        <f t="shared" si="0"/>
        <v/>
      </c>
    </row>
    <row r="29" spans="1:7" x14ac:dyDescent="0.25">
      <c r="B29" t="s">
        <v>174</v>
      </c>
      <c r="E29">
        <v>0</v>
      </c>
      <c r="G29" t="str">
        <f t="shared" si="0"/>
        <v/>
      </c>
    </row>
    <row r="30" spans="1:7" x14ac:dyDescent="0.25">
      <c r="B30" t="s">
        <v>175</v>
      </c>
      <c r="E30">
        <v>0</v>
      </c>
      <c r="G30" t="str">
        <f t="shared" si="0"/>
        <v/>
      </c>
    </row>
    <row r="31" spans="1:7" x14ac:dyDescent="0.25">
      <c r="B31" t="s">
        <v>176</v>
      </c>
      <c r="E31">
        <v>0</v>
      </c>
      <c r="G31" t="str">
        <f t="shared" si="0"/>
        <v/>
      </c>
    </row>
    <row r="32" spans="1:7" x14ac:dyDescent="0.25">
      <c r="B32" t="s">
        <v>177</v>
      </c>
      <c r="E32">
        <v>0</v>
      </c>
      <c r="G32" t="str">
        <f t="shared" si="0"/>
        <v/>
      </c>
    </row>
    <row r="33" spans="1:7" x14ac:dyDescent="0.25">
      <c r="A33" t="s">
        <v>178</v>
      </c>
      <c r="B33" t="s">
        <v>179</v>
      </c>
      <c r="E33">
        <v>0</v>
      </c>
      <c r="G33" t="str">
        <f t="shared" si="0"/>
        <v/>
      </c>
    </row>
    <row r="34" spans="1:7" x14ac:dyDescent="0.25">
      <c r="B34" t="s">
        <v>180</v>
      </c>
      <c r="E34">
        <v>0</v>
      </c>
      <c r="G34" t="str">
        <f t="shared" si="0"/>
        <v/>
      </c>
    </row>
    <row r="35" spans="1:7" x14ac:dyDescent="0.25">
      <c r="B35" t="s">
        <v>181</v>
      </c>
      <c r="E35">
        <v>0</v>
      </c>
      <c r="G35" t="str">
        <f t="shared" si="0"/>
        <v/>
      </c>
    </row>
    <row r="36" spans="1:7" x14ac:dyDescent="0.25">
      <c r="B36" t="s">
        <v>182</v>
      </c>
      <c r="E36">
        <v>0</v>
      </c>
      <c r="G36" t="str">
        <f t="shared" ref="G36:G54" si="1">IF(SUM(C36:D36, F36)&gt;0, (C36+D36)*E36+F36, "")</f>
        <v/>
      </c>
    </row>
    <row r="37" spans="1:7" x14ac:dyDescent="0.25">
      <c r="B37" t="s">
        <v>183</v>
      </c>
      <c r="E37">
        <v>0</v>
      </c>
      <c r="G37" t="str">
        <f t="shared" si="1"/>
        <v/>
      </c>
    </row>
    <row r="38" spans="1:7" x14ac:dyDescent="0.25">
      <c r="B38" t="s">
        <v>184</v>
      </c>
      <c r="E38">
        <v>0</v>
      </c>
      <c r="G38" t="str">
        <f t="shared" si="1"/>
        <v/>
      </c>
    </row>
    <row r="39" spans="1:7" x14ac:dyDescent="0.25">
      <c r="A39" t="s">
        <v>185</v>
      </c>
      <c r="B39" t="s">
        <v>186</v>
      </c>
      <c r="E39">
        <v>0</v>
      </c>
      <c r="G39" t="str">
        <f t="shared" si="1"/>
        <v/>
      </c>
    </row>
    <row r="40" spans="1:7" x14ac:dyDescent="0.25">
      <c r="B40" t="s">
        <v>203</v>
      </c>
      <c r="E40">
        <v>400</v>
      </c>
      <c r="G40" t="str">
        <f t="shared" si="1"/>
        <v/>
      </c>
    </row>
    <row r="41" spans="1:7" x14ac:dyDescent="0.25">
      <c r="B41" t="s">
        <v>204</v>
      </c>
      <c r="E41">
        <v>220</v>
      </c>
      <c r="G41" t="str">
        <f t="shared" si="1"/>
        <v/>
      </c>
    </row>
    <row r="42" spans="1:7" x14ac:dyDescent="0.25">
      <c r="B42" t="s">
        <v>205</v>
      </c>
      <c r="E42">
        <v>5</v>
      </c>
      <c r="G42" t="str">
        <f t="shared" si="1"/>
        <v/>
      </c>
    </row>
    <row r="43" spans="1:7" x14ac:dyDescent="0.25">
      <c r="B43" t="s">
        <v>207</v>
      </c>
      <c r="E43">
        <v>5</v>
      </c>
      <c r="G43" t="str">
        <f t="shared" si="1"/>
        <v/>
      </c>
    </row>
    <row r="44" spans="1:7" x14ac:dyDescent="0.25">
      <c r="A44" t="s">
        <v>187</v>
      </c>
      <c r="B44" t="s">
        <v>188</v>
      </c>
      <c r="E44">
        <v>0</v>
      </c>
      <c r="G44" t="str">
        <f t="shared" si="1"/>
        <v/>
      </c>
    </row>
    <row r="45" spans="1:7" x14ac:dyDescent="0.25">
      <c r="B45" t="s">
        <v>189</v>
      </c>
      <c r="E45">
        <v>0</v>
      </c>
      <c r="G45" t="str">
        <f t="shared" si="1"/>
        <v/>
      </c>
    </row>
    <row r="46" spans="1:7" x14ac:dyDescent="0.25">
      <c r="A46" t="s">
        <v>190</v>
      </c>
      <c r="B46" t="s">
        <v>191</v>
      </c>
      <c r="E46">
        <v>0</v>
      </c>
      <c r="G46" t="str">
        <f t="shared" si="1"/>
        <v/>
      </c>
    </row>
    <row r="47" spans="1:7" x14ac:dyDescent="0.25">
      <c r="B47" t="s">
        <v>192</v>
      </c>
      <c r="E47">
        <v>0</v>
      </c>
      <c r="G47" t="str">
        <f t="shared" si="1"/>
        <v/>
      </c>
    </row>
    <row r="48" spans="1:7" x14ac:dyDescent="0.25">
      <c r="B48" t="s">
        <v>193</v>
      </c>
      <c r="E48">
        <v>0</v>
      </c>
      <c r="G48" t="str">
        <f t="shared" si="1"/>
        <v/>
      </c>
    </row>
    <row r="49" spans="1:7" x14ac:dyDescent="0.25">
      <c r="B49" t="s">
        <v>194</v>
      </c>
      <c r="E49">
        <v>0</v>
      </c>
      <c r="G49" t="str">
        <f t="shared" si="1"/>
        <v/>
      </c>
    </row>
    <row r="50" spans="1:7" x14ac:dyDescent="0.25">
      <c r="A50" t="s">
        <v>209</v>
      </c>
      <c r="B50" t="s">
        <v>210</v>
      </c>
      <c r="E50">
        <v>560</v>
      </c>
      <c r="G50" t="str">
        <f t="shared" si="1"/>
        <v/>
      </c>
    </row>
    <row r="51" spans="1:7" x14ac:dyDescent="0.25">
      <c r="B51" t="s">
        <v>211</v>
      </c>
      <c r="E51">
        <v>900</v>
      </c>
      <c r="G51" t="str">
        <f t="shared" si="1"/>
        <v/>
      </c>
    </row>
    <row r="52" spans="1:7" x14ac:dyDescent="0.25">
      <c r="B52" t="s">
        <v>212</v>
      </c>
      <c r="E52">
        <v>600</v>
      </c>
      <c r="G52" t="str">
        <f t="shared" si="1"/>
        <v/>
      </c>
    </row>
    <row r="53" spans="1:7" x14ac:dyDescent="0.25">
      <c r="A53" t="s">
        <v>214</v>
      </c>
      <c r="B53" t="s">
        <v>213</v>
      </c>
      <c r="E53">
        <v>0</v>
      </c>
      <c r="G53" t="str">
        <f t="shared" si="1"/>
        <v/>
      </c>
    </row>
    <row r="54" spans="1:7" x14ac:dyDescent="0.25">
      <c r="B54" t="s">
        <v>215</v>
      </c>
      <c r="E54">
        <v>10</v>
      </c>
      <c r="G54" t="str">
        <f t="shared" si="1"/>
        <v/>
      </c>
    </row>
  </sheetData>
  <dataValidations count="1">
    <dataValidation type="list" errorStyle="information" allowBlank="1" showInputMessage="1" sqref="C1" xr:uid="{C7A97F07-E21A-4314-A42C-6FC520BF8F04}">
      <formula1>"5-Aug-2026,6-Aug-2026"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E9AB9-9167-4DE7-97B8-1AC24811693C}">
  <sheetPr codeName="Sheet4"/>
  <dimension ref="A1:AA24"/>
  <sheetViews>
    <sheetView showGridLines="0" workbookViewId="0">
      <pane ySplit="2" topLeftCell="A3" activePane="bottomLeft" state="frozenSplit"/>
      <selection activeCell="A2" sqref="A2"/>
      <selection pane="bottomLeft" activeCell="C1" sqref="C1"/>
    </sheetView>
  </sheetViews>
  <sheetFormatPr defaultRowHeight="15" x14ac:dyDescent="0.25"/>
  <cols>
    <col min="1" max="6" width="18.7109375" customWidth="1"/>
    <col min="9" max="9" width="12.7109375" customWidth="1"/>
    <col min="10" max="10" width="14.7109375" customWidth="1"/>
    <col min="11" max="11" width="12.7109375" customWidth="1"/>
    <col min="12" max="12" width="8.7109375" customWidth="1"/>
    <col min="13" max="13" width="12.7109375" customWidth="1"/>
    <col min="14" max="14" width="8.7109375" customWidth="1"/>
    <col min="15" max="15" width="12.7109375" customWidth="1"/>
  </cols>
  <sheetData>
    <row r="1" spans="1:27" ht="35.1" customHeight="1" x14ac:dyDescent="0.25">
      <c r="A1" s="47" t="s">
        <v>233</v>
      </c>
      <c r="B1" s="48"/>
      <c r="C1" s="49" t="s">
        <v>240</v>
      </c>
      <c r="D1" s="48"/>
      <c r="J1" s="68" t="s">
        <v>242</v>
      </c>
      <c r="K1" s="69">
        <v>246600</v>
      </c>
      <c r="L1" s="68" t="s">
        <v>243</v>
      </c>
      <c r="M1" s="69">
        <v>0</v>
      </c>
      <c r="N1" s="68" t="s">
        <v>244</v>
      </c>
      <c r="O1" s="69">
        <v>246600</v>
      </c>
    </row>
    <row r="2" spans="1:27" s="62" customFormat="1" ht="15.75" x14ac:dyDescent="0.25">
      <c r="A2" s="51" t="s">
        <v>78</v>
      </c>
      <c r="B2" s="51" t="s">
        <v>84</v>
      </c>
      <c r="C2" s="52" t="s">
        <v>232</v>
      </c>
      <c r="D2" s="52" t="s">
        <v>76</v>
      </c>
      <c r="E2" s="52" t="s">
        <v>234</v>
      </c>
      <c r="F2" s="53" t="s">
        <v>85</v>
      </c>
      <c r="G2" s="53" t="s">
        <v>79</v>
      </c>
      <c r="H2" s="54" t="s">
        <v>86</v>
      </c>
      <c r="I2" s="54" t="s">
        <v>79</v>
      </c>
      <c r="J2" s="55" t="s">
        <v>87</v>
      </c>
      <c r="K2" s="55" t="s">
        <v>79</v>
      </c>
      <c r="L2" s="56" t="s">
        <v>88</v>
      </c>
      <c r="M2" s="56" t="s">
        <v>79</v>
      </c>
      <c r="N2" s="57" t="s">
        <v>89</v>
      </c>
      <c r="O2" s="57" t="s">
        <v>76</v>
      </c>
      <c r="P2" s="57" t="s">
        <v>79</v>
      </c>
      <c r="Q2" s="58" t="s">
        <v>90</v>
      </c>
      <c r="R2" s="58" t="s">
        <v>76</v>
      </c>
      <c r="S2" s="58" t="s">
        <v>79</v>
      </c>
      <c r="T2" s="59" t="s">
        <v>91</v>
      </c>
      <c r="U2" s="59" t="s">
        <v>79</v>
      </c>
      <c r="V2" s="59" t="s">
        <v>76</v>
      </c>
      <c r="W2" s="60" t="s">
        <v>216</v>
      </c>
      <c r="X2" s="60" t="s">
        <v>92</v>
      </c>
      <c r="Y2" s="60" t="s">
        <v>79</v>
      </c>
      <c r="Z2" s="61" t="s">
        <v>93</v>
      </c>
      <c r="AA2" s="61" t="s">
        <v>94</v>
      </c>
    </row>
    <row r="3" spans="1:27" x14ac:dyDescent="0.25">
      <c r="A3" s="18" t="s">
        <v>95</v>
      </c>
      <c r="B3" s="18">
        <v>9500</v>
      </c>
      <c r="C3" s="19"/>
      <c r="D3" s="29">
        <v>46244</v>
      </c>
      <c r="E3" s="19"/>
      <c r="F3" s="20" t="s">
        <v>96</v>
      </c>
      <c r="G3" s="20"/>
      <c r="H3" s="21" t="s">
        <v>97</v>
      </c>
      <c r="I3" s="21"/>
      <c r="J3" s="22" t="s">
        <v>238</v>
      </c>
      <c r="K3" s="22"/>
      <c r="L3" s="23"/>
      <c r="M3" s="23"/>
      <c r="N3" s="24" t="s">
        <v>201</v>
      </c>
      <c r="O3" s="43"/>
      <c r="P3" s="24"/>
      <c r="Q3" s="25" t="s">
        <v>97</v>
      </c>
      <c r="R3" s="25"/>
      <c r="S3" s="25"/>
      <c r="T3" s="26" t="s">
        <v>99</v>
      </c>
      <c r="U3" s="26"/>
      <c r="V3" s="26"/>
      <c r="W3" s="27"/>
      <c r="X3" s="27" t="s">
        <v>100</v>
      </c>
      <c r="Y3" s="27"/>
      <c r="Z3" s="45">
        <v>344883</v>
      </c>
      <c r="AA3" s="28" t="s">
        <v>101</v>
      </c>
    </row>
    <row r="4" spans="1:27" x14ac:dyDescent="0.25">
      <c r="A4" s="18" t="s">
        <v>102</v>
      </c>
      <c r="B4" s="18">
        <v>10500</v>
      </c>
      <c r="C4" s="19" t="s">
        <v>103</v>
      </c>
      <c r="D4" s="29">
        <v>46244</v>
      </c>
      <c r="E4" s="19"/>
      <c r="F4" s="20" t="s">
        <v>104</v>
      </c>
      <c r="G4" s="20"/>
      <c r="H4" s="21" t="s">
        <v>105</v>
      </c>
      <c r="I4" s="21"/>
      <c r="J4" s="22"/>
      <c r="K4" s="22"/>
      <c r="L4" s="23"/>
      <c r="M4" s="23"/>
      <c r="N4" s="24"/>
      <c r="O4" s="24"/>
      <c r="P4" s="24"/>
      <c r="Q4" s="25" t="s">
        <v>106</v>
      </c>
      <c r="R4" s="25"/>
      <c r="S4" s="25"/>
      <c r="T4" s="26" t="s">
        <v>107</v>
      </c>
      <c r="U4" s="26"/>
      <c r="V4" s="26"/>
      <c r="W4" s="27"/>
      <c r="X4" s="27" t="s">
        <v>108</v>
      </c>
      <c r="Y4" s="27"/>
      <c r="Z4" s="28">
        <v>164240</v>
      </c>
      <c r="AA4" s="28" t="s">
        <v>109</v>
      </c>
    </row>
    <row r="5" spans="1:27" x14ac:dyDescent="0.25">
      <c r="A5" s="18" t="s">
        <v>110</v>
      </c>
      <c r="B5" s="18">
        <v>10500</v>
      </c>
      <c r="C5" s="19"/>
      <c r="D5" s="29">
        <v>46244</v>
      </c>
      <c r="E5" s="19"/>
      <c r="F5" s="20" t="s">
        <v>111</v>
      </c>
      <c r="G5" s="20"/>
      <c r="H5" s="21" t="s">
        <v>112</v>
      </c>
      <c r="I5" s="21"/>
      <c r="J5" s="22"/>
      <c r="K5" s="22"/>
      <c r="L5" s="23"/>
      <c r="M5" s="23"/>
      <c r="N5" s="24"/>
      <c r="O5" s="24"/>
      <c r="P5" s="24"/>
      <c r="Q5" s="25" t="s">
        <v>113</v>
      </c>
      <c r="R5" s="25"/>
      <c r="S5" s="25"/>
      <c r="T5" s="26" t="s">
        <v>114</v>
      </c>
      <c r="U5" s="26"/>
      <c r="V5" s="44"/>
      <c r="W5" s="27" t="s">
        <v>12</v>
      </c>
      <c r="X5" s="27" t="s">
        <v>217</v>
      </c>
      <c r="Y5" s="27"/>
      <c r="Z5" s="28">
        <v>52000</v>
      </c>
      <c r="AA5" s="28" t="s">
        <v>115</v>
      </c>
    </row>
    <row r="6" spans="1:27" x14ac:dyDescent="0.25">
      <c r="A6" s="18" t="s">
        <v>25</v>
      </c>
      <c r="B6" s="18">
        <v>12500</v>
      </c>
      <c r="C6" s="19"/>
      <c r="D6" s="29">
        <v>46244</v>
      </c>
      <c r="E6" s="19"/>
      <c r="F6" s="20" t="s">
        <v>116</v>
      </c>
      <c r="G6" s="20"/>
      <c r="H6" s="21" t="s">
        <v>117</v>
      </c>
      <c r="I6" s="21"/>
      <c r="J6" s="22"/>
      <c r="K6" s="22"/>
      <c r="L6" s="23"/>
      <c r="M6" s="23"/>
      <c r="N6" s="24"/>
      <c r="O6" s="24"/>
      <c r="P6" s="24"/>
      <c r="Q6" s="25" t="s">
        <v>116</v>
      </c>
      <c r="R6" s="25"/>
      <c r="S6" s="25"/>
      <c r="T6" s="26"/>
      <c r="U6" s="26"/>
      <c r="V6" s="26"/>
      <c r="W6" s="27"/>
      <c r="X6" s="27"/>
      <c r="Y6" s="27"/>
      <c r="Z6" s="28">
        <f>SUM(Z3:Z5)</f>
        <v>561123</v>
      </c>
      <c r="AA6" s="28" t="s">
        <v>118</v>
      </c>
    </row>
    <row r="7" spans="1:27" x14ac:dyDescent="0.25">
      <c r="A7" s="18" t="s">
        <v>119</v>
      </c>
      <c r="B7" s="18">
        <v>8500</v>
      </c>
      <c r="C7" s="19" t="s">
        <v>120</v>
      </c>
      <c r="D7" s="29">
        <v>46244</v>
      </c>
      <c r="E7" s="19"/>
      <c r="F7" s="20" t="s">
        <v>121</v>
      </c>
      <c r="G7" s="20"/>
      <c r="H7" s="21"/>
      <c r="I7" s="21"/>
      <c r="J7" s="22"/>
      <c r="K7" s="22"/>
      <c r="L7" s="23"/>
      <c r="M7" s="23"/>
      <c r="N7" s="24"/>
      <c r="O7" s="24"/>
      <c r="P7" s="24"/>
      <c r="Q7" s="25" t="s">
        <v>122</v>
      </c>
      <c r="R7" s="30"/>
      <c r="S7" s="25"/>
      <c r="T7" s="26"/>
      <c r="U7" s="26"/>
      <c r="V7" s="26"/>
      <c r="W7" s="27"/>
      <c r="X7" s="27"/>
      <c r="Y7" s="27"/>
      <c r="Z7" s="28"/>
      <c r="AA7" s="28" t="s">
        <v>117</v>
      </c>
    </row>
    <row r="8" spans="1:27" x14ac:dyDescent="0.25">
      <c r="A8" s="18" t="s">
        <v>123</v>
      </c>
      <c r="B8" s="18">
        <v>3000</v>
      </c>
      <c r="C8" s="19"/>
      <c r="D8" s="29">
        <v>46244</v>
      </c>
      <c r="E8" s="19"/>
      <c r="F8" s="20"/>
      <c r="G8" s="20"/>
      <c r="H8" s="21"/>
      <c r="I8" s="21"/>
      <c r="J8" s="22"/>
      <c r="K8" s="22"/>
      <c r="L8" s="23"/>
      <c r="M8" s="23"/>
      <c r="N8" s="24"/>
      <c r="O8" s="24"/>
      <c r="P8" s="24"/>
      <c r="Q8" s="25" t="s">
        <v>124</v>
      </c>
      <c r="R8" s="30"/>
      <c r="S8" s="25"/>
      <c r="T8" s="26"/>
      <c r="U8" s="26"/>
      <c r="V8" s="26"/>
      <c r="W8" s="27"/>
      <c r="X8" s="27"/>
      <c r="Y8" s="27"/>
      <c r="Z8" s="28"/>
      <c r="AA8" s="28" t="s">
        <v>125</v>
      </c>
    </row>
    <row r="9" spans="1:27" x14ac:dyDescent="0.25">
      <c r="A9" s="18" t="s">
        <v>126</v>
      </c>
      <c r="B9" s="18">
        <v>14000</v>
      </c>
      <c r="C9" s="19"/>
      <c r="D9" s="29">
        <v>46244</v>
      </c>
      <c r="E9" s="19"/>
      <c r="F9" s="20"/>
      <c r="G9" s="20"/>
      <c r="H9" s="21"/>
      <c r="I9" s="21"/>
      <c r="J9" s="22"/>
      <c r="K9" s="22"/>
      <c r="L9" s="23"/>
      <c r="M9" s="23"/>
      <c r="N9" s="24"/>
      <c r="O9" s="24"/>
      <c r="P9" s="24"/>
      <c r="Q9" s="25"/>
      <c r="R9" s="25"/>
      <c r="S9" s="25"/>
      <c r="T9" s="26"/>
      <c r="U9" s="26"/>
      <c r="V9" s="26"/>
      <c r="W9" s="27"/>
      <c r="X9" s="27"/>
      <c r="Y9" s="27"/>
      <c r="Z9" s="28"/>
      <c r="AA9" s="28"/>
    </row>
    <row r="10" spans="1:27" x14ac:dyDescent="0.25">
      <c r="A10" s="18" t="s">
        <v>127</v>
      </c>
      <c r="B10" s="18">
        <v>13000</v>
      </c>
      <c r="C10" s="19" t="s">
        <v>128</v>
      </c>
      <c r="D10" s="29">
        <v>46244</v>
      </c>
      <c r="E10" s="19"/>
      <c r="F10" s="20"/>
      <c r="G10" s="20"/>
      <c r="H10" s="21"/>
      <c r="I10" s="21"/>
      <c r="J10" s="22"/>
      <c r="K10" s="22"/>
      <c r="L10" s="23"/>
      <c r="M10" s="23"/>
      <c r="N10" s="24"/>
      <c r="O10" s="24"/>
      <c r="P10" s="24"/>
      <c r="Q10" s="25"/>
      <c r="R10" s="25"/>
      <c r="S10" s="25"/>
      <c r="T10" s="26"/>
      <c r="U10" s="26"/>
      <c r="V10" s="26"/>
      <c r="W10" s="27"/>
      <c r="X10" s="27"/>
      <c r="Y10" s="27"/>
      <c r="Z10" s="28"/>
      <c r="AA10" s="28"/>
    </row>
    <row r="11" spans="1:27" x14ac:dyDescent="0.25">
      <c r="A11" s="18" t="s">
        <v>129</v>
      </c>
      <c r="B11" s="18">
        <v>10500</v>
      </c>
      <c r="C11" s="19"/>
      <c r="D11" s="29">
        <v>46244</v>
      </c>
      <c r="E11" s="19"/>
      <c r="F11" s="20"/>
      <c r="G11" s="20"/>
      <c r="H11" s="21"/>
      <c r="I11" s="21"/>
      <c r="J11" s="22"/>
      <c r="K11" s="22"/>
      <c r="L11" s="23"/>
      <c r="M11" s="23"/>
      <c r="N11" s="24"/>
      <c r="O11" s="24"/>
      <c r="P11" s="24"/>
      <c r="Q11" s="25"/>
      <c r="R11" s="25"/>
      <c r="S11" s="25"/>
      <c r="T11" s="26"/>
      <c r="U11" s="26"/>
      <c r="V11" s="26"/>
      <c r="W11" s="27"/>
      <c r="X11" s="27"/>
      <c r="Y11" s="27"/>
      <c r="Z11" s="28"/>
      <c r="AA11" s="28"/>
    </row>
    <row r="12" spans="1:27" x14ac:dyDescent="0.25">
      <c r="A12" s="18" t="s">
        <v>130</v>
      </c>
      <c r="B12" s="18">
        <v>10500</v>
      </c>
      <c r="C12" s="19" t="s">
        <v>8</v>
      </c>
      <c r="D12" s="29">
        <v>46244</v>
      </c>
      <c r="E12" s="19"/>
      <c r="F12" s="20"/>
      <c r="G12" s="20"/>
      <c r="H12" s="21"/>
      <c r="I12" s="21"/>
      <c r="J12" s="22"/>
      <c r="K12" s="22"/>
      <c r="L12" s="23"/>
      <c r="M12" s="23"/>
      <c r="N12" s="24"/>
      <c r="O12" s="24"/>
      <c r="P12" s="24"/>
      <c r="Q12" s="25"/>
      <c r="R12" s="25"/>
      <c r="S12" s="25"/>
      <c r="T12" s="26"/>
      <c r="U12" s="26"/>
      <c r="V12" s="26"/>
      <c r="W12" s="27"/>
      <c r="X12" s="27"/>
      <c r="Y12" s="27"/>
      <c r="Z12" s="28"/>
      <c r="AA12" s="28"/>
    </row>
    <row r="13" spans="1:27" x14ac:dyDescent="0.25">
      <c r="A13" s="18" t="s">
        <v>131</v>
      </c>
      <c r="B13" s="18">
        <v>9000</v>
      </c>
      <c r="C13" s="19"/>
      <c r="D13" s="29">
        <v>46244</v>
      </c>
      <c r="E13" s="19"/>
      <c r="F13" s="20"/>
      <c r="G13" s="20"/>
      <c r="H13" s="21"/>
      <c r="I13" s="21"/>
      <c r="J13" s="22"/>
      <c r="K13" s="22"/>
      <c r="L13" s="23"/>
      <c r="M13" s="23"/>
      <c r="N13" s="24"/>
      <c r="O13" s="24"/>
      <c r="P13" s="24"/>
      <c r="Q13" s="25"/>
      <c r="R13" s="25"/>
      <c r="S13" s="25"/>
      <c r="T13" s="26"/>
      <c r="U13" s="26"/>
      <c r="V13" s="26"/>
      <c r="W13" s="27"/>
      <c r="X13" s="27"/>
      <c r="Y13" s="27"/>
      <c r="Z13" s="28"/>
      <c r="AA13" s="28"/>
    </row>
    <row r="14" spans="1:27" x14ac:dyDescent="0.25">
      <c r="A14" s="18" t="s">
        <v>132</v>
      </c>
      <c r="B14" s="18">
        <v>8750</v>
      </c>
      <c r="C14" s="19">
        <v>56</v>
      </c>
      <c r="D14" s="29">
        <v>46244</v>
      </c>
      <c r="E14" s="19"/>
      <c r="F14" s="20"/>
      <c r="G14" s="20"/>
      <c r="H14" s="21"/>
      <c r="I14" s="21"/>
      <c r="J14" s="22"/>
      <c r="K14" s="22"/>
      <c r="L14" s="23"/>
      <c r="M14" s="23"/>
      <c r="N14" s="24"/>
      <c r="O14" s="24"/>
      <c r="P14" s="24"/>
      <c r="Q14" s="25"/>
      <c r="R14" s="25"/>
      <c r="S14" s="25"/>
      <c r="T14" s="26"/>
      <c r="U14" s="26"/>
      <c r="V14" s="26"/>
      <c r="W14" s="27"/>
      <c r="X14" s="27"/>
      <c r="Y14" s="27"/>
      <c r="Z14" s="28"/>
      <c r="AA14" s="28"/>
    </row>
    <row r="15" spans="1:27" x14ac:dyDescent="0.25">
      <c r="A15" s="18" t="s">
        <v>133</v>
      </c>
      <c r="B15" s="18">
        <v>5000</v>
      </c>
      <c r="C15" s="19" t="s">
        <v>12</v>
      </c>
      <c r="D15" s="29">
        <v>46244</v>
      </c>
      <c r="E15" s="19"/>
      <c r="F15" s="20"/>
      <c r="G15" s="20"/>
      <c r="H15" s="21"/>
      <c r="I15" s="21"/>
      <c r="J15" s="22"/>
      <c r="K15" s="22"/>
      <c r="L15" s="23"/>
      <c r="M15" s="23"/>
      <c r="N15" s="24"/>
      <c r="O15" s="24"/>
      <c r="P15" s="24"/>
      <c r="Q15" s="25"/>
      <c r="R15" s="25"/>
      <c r="S15" s="25"/>
      <c r="T15" s="26"/>
      <c r="U15" s="26"/>
      <c r="V15" s="26"/>
      <c r="W15" s="27"/>
      <c r="X15" s="27"/>
      <c r="Y15" s="27"/>
      <c r="Z15" s="28"/>
      <c r="AA15" s="28"/>
    </row>
    <row r="16" spans="1:27" x14ac:dyDescent="0.25">
      <c r="A16" s="18" t="s">
        <v>134</v>
      </c>
      <c r="B16" s="18">
        <v>10000</v>
      </c>
      <c r="C16" s="19" t="s">
        <v>12</v>
      </c>
      <c r="D16" s="29">
        <v>46244</v>
      </c>
      <c r="E16" s="19"/>
      <c r="F16" s="20"/>
      <c r="G16" s="20"/>
      <c r="H16" s="21"/>
      <c r="I16" s="21"/>
      <c r="J16" s="22"/>
      <c r="K16" s="22"/>
      <c r="L16" s="23"/>
      <c r="M16" s="23"/>
      <c r="N16" s="24"/>
      <c r="O16" s="24"/>
      <c r="P16" s="24"/>
      <c r="Q16" s="25"/>
      <c r="R16" s="25"/>
      <c r="S16" s="25"/>
      <c r="T16" s="26"/>
      <c r="U16" s="26"/>
      <c r="V16" s="26"/>
      <c r="W16" s="27"/>
      <c r="X16" s="27"/>
      <c r="Y16" s="27"/>
      <c r="Z16" s="28"/>
      <c r="AA16" s="28"/>
    </row>
    <row r="17" spans="1:27" x14ac:dyDescent="0.25">
      <c r="A17" s="18" t="s">
        <v>135</v>
      </c>
      <c r="B17" s="18">
        <v>11000</v>
      </c>
      <c r="C17" s="19" t="s">
        <v>136</v>
      </c>
      <c r="D17" s="29">
        <v>46244</v>
      </c>
      <c r="E17" s="19"/>
      <c r="F17" s="20"/>
      <c r="G17" s="20"/>
      <c r="H17" s="21"/>
      <c r="I17" s="21"/>
      <c r="J17" s="22"/>
      <c r="K17" s="22"/>
      <c r="L17" s="23"/>
      <c r="M17" s="23"/>
      <c r="N17" s="24"/>
      <c r="O17" s="24"/>
      <c r="P17" s="24"/>
      <c r="Q17" s="25"/>
      <c r="R17" s="25"/>
      <c r="S17" s="25"/>
      <c r="T17" s="26"/>
      <c r="U17" s="26"/>
      <c r="V17" s="26"/>
      <c r="W17" s="27"/>
      <c r="X17" s="27"/>
      <c r="Y17" s="27"/>
      <c r="Z17" s="28"/>
      <c r="AA17" s="28"/>
    </row>
    <row r="18" spans="1:27" x14ac:dyDescent="0.25">
      <c r="A18" s="18" t="s">
        <v>137</v>
      </c>
      <c r="B18" s="18">
        <v>5000</v>
      </c>
      <c r="C18" s="19" t="s">
        <v>136</v>
      </c>
      <c r="D18" s="29">
        <v>46244</v>
      </c>
      <c r="E18" s="19"/>
      <c r="F18" s="20"/>
      <c r="G18" s="20"/>
      <c r="H18" s="21"/>
      <c r="I18" s="21"/>
      <c r="J18" s="22"/>
      <c r="K18" s="22"/>
      <c r="L18" s="23"/>
      <c r="M18" s="23"/>
      <c r="N18" s="24"/>
      <c r="O18" s="24"/>
      <c r="P18" s="24"/>
      <c r="Q18" s="25"/>
      <c r="R18" s="25"/>
      <c r="S18" s="25"/>
      <c r="T18" s="26"/>
      <c r="U18" s="26"/>
      <c r="V18" s="26"/>
      <c r="W18" s="27"/>
      <c r="X18" s="27"/>
      <c r="Y18" s="27"/>
      <c r="Z18" s="28"/>
      <c r="AA18" s="28"/>
    </row>
    <row r="19" spans="1:27" x14ac:dyDescent="0.25">
      <c r="A19" s="18" t="s">
        <v>138</v>
      </c>
      <c r="B19" s="18">
        <v>11000</v>
      </c>
      <c r="C19" s="19" t="s">
        <v>136</v>
      </c>
      <c r="D19" s="31">
        <v>46244</v>
      </c>
      <c r="E19" s="19"/>
      <c r="F19" s="20"/>
      <c r="G19" s="20"/>
      <c r="H19" s="21"/>
      <c r="I19" s="21"/>
      <c r="J19" s="22"/>
      <c r="K19" s="22"/>
      <c r="L19" s="23"/>
      <c r="M19" s="23"/>
      <c r="N19" s="24"/>
      <c r="O19" s="24"/>
      <c r="P19" s="24"/>
      <c r="Q19" s="25"/>
      <c r="R19" s="25"/>
      <c r="S19" s="25"/>
      <c r="T19" s="26"/>
      <c r="U19" s="26"/>
      <c r="V19" s="26"/>
      <c r="W19" s="27"/>
      <c r="X19" s="27"/>
      <c r="Y19" s="27"/>
      <c r="Z19" s="28"/>
      <c r="AA19" s="28"/>
    </row>
    <row r="20" spans="1:27" x14ac:dyDescent="0.25">
      <c r="A20" s="18" t="s">
        <v>139</v>
      </c>
      <c r="B20" s="18">
        <v>50000</v>
      </c>
      <c r="C20" s="19"/>
      <c r="D20" s="29">
        <v>46244</v>
      </c>
      <c r="E20" s="19"/>
      <c r="F20" s="20"/>
      <c r="G20" s="20"/>
      <c r="H20" s="21"/>
      <c r="I20" s="21"/>
      <c r="J20" s="22"/>
      <c r="K20" s="22"/>
      <c r="L20" s="23"/>
      <c r="M20" s="23"/>
      <c r="N20" s="24"/>
      <c r="O20" s="24"/>
      <c r="P20" s="24"/>
      <c r="Q20" s="25"/>
      <c r="R20" s="25"/>
      <c r="S20" s="25"/>
      <c r="T20" s="26"/>
      <c r="U20" s="26"/>
      <c r="V20" s="26"/>
      <c r="W20" s="27"/>
      <c r="X20" s="27"/>
      <c r="Y20" s="27"/>
      <c r="Z20" s="28"/>
      <c r="AA20" s="28"/>
    </row>
    <row r="21" spans="1:27" x14ac:dyDescent="0.25">
      <c r="A21" s="18" t="s">
        <v>140</v>
      </c>
      <c r="B21" s="46">
        <v>1600</v>
      </c>
      <c r="C21" s="19"/>
      <c r="D21" s="29">
        <v>46244</v>
      </c>
      <c r="E21" s="19"/>
      <c r="F21" s="20"/>
      <c r="G21" s="20"/>
      <c r="H21" s="21"/>
      <c r="I21" s="21"/>
      <c r="J21" s="22"/>
      <c r="K21" s="22"/>
      <c r="L21" s="23"/>
      <c r="M21" s="23"/>
      <c r="N21" s="24"/>
      <c r="O21" s="24"/>
      <c r="P21" s="24"/>
      <c r="Q21" s="25"/>
      <c r="R21" s="25"/>
      <c r="S21" s="25"/>
      <c r="T21" s="26"/>
      <c r="U21" s="26"/>
      <c r="V21" s="26"/>
      <c r="W21" s="27"/>
      <c r="X21" s="27"/>
      <c r="Y21" s="27"/>
      <c r="Z21" s="28"/>
      <c r="AA21" s="28"/>
    </row>
    <row r="22" spans="1:27" x14ac:dyDescent="0.25">
      <c r="A22" s="18" t="s">
        <v>141</v>
      </c>
      <c r="B22" s="18">
        <v>23000</v>
      </c>
      <c r="C22" s="19"/>
      <c r="D22" s="29">
        <v>46244</v>
      </c>
      <c r="E22" s="19"/>
      <c r="F22" s="20"/>
      <c r="G22" s="20"/>
      <c r="H22" s="21"/>
      <c r="I22" s="21"/>
      <c r="J22" s="22"/>
      <c r="K22" s="22"/>
      <c r="L22" s="23"/>
      <c r="M22" s="23"/>
      <c r="N22" s="24"/>
      <c r="O22" s="24"/>
      <c r="P22" s="24"/>
      <c r="Q22" s="25"/>
      <c r="R22" s="25"/>
      <c r="S22" s="25"/>
      <c r="T22" s="26"/>
      <c r="U22" s="26"/>
      <c r="V22" s="26"/>
      <c r="W22" s="27"/>
      <c r="X22" s="27"/>
      <c r="Y22" s="27"/>
      <c r="Z22" s="28"/>
      <c r="AA22" s="28"/>
    </row>
    <row r="23" spans="1:27" x14ac:dyDescent="0.25">
      <c r="A23" s="18" t="s">
        <v>142</v>
      </c>
      <c r="B23" s="18">
        <v>108033</v>
      </c>
      <c r="C23" s="19" t="s">
        <v>143</v>
      </c>
      <c r="D23" s="19"/>
      <c r="E23" s="19"/>
      <c r="F23" s="20"/>
      <c r="G23" s="20"/>
      <c r="H23" s="21"/>
      <c r="I23" s="21"/>
      <c r="J23" s="22"/>
      <c r="K23" s="22"/>
      <c r="L23" s="23"/>
      <c r="M23" s="23"/>
      <c r="N23" s="24"/>
      <c r="O23" s="24"/>
      <c r="P23" s="24"/>
      <c r="Q23" s="25"/>
      <c r="R23" s="25"/>
      <c r="S23" s="25"/>
      <c r="T23" s="26"/>
      <c r="U23" s="26"/>
      <c r="V23" s="26"/>
      <c r="W23" s="27"/>
      <c r="X23" s="27"/>
      <c r="Y23" s="27"/>
      <c r="Z23" s="28"/>
      <c r="AA23" s="28"/>
    </row>
    <row r="24" spans="1:27" x14ac:dyDescent="0.25">
      <c r="A24" s="18" t="s">
        <v>202</v>
      </c>
      <c r="B24" s="18">
        <v>10000</v>
      </c>
      <c r="C24" s="19"/>
      <c r="D24" s="29"/>
      <c r="E24" s="19"/>
      <c r="F24" s="20"/>
      <c r="G24" s="20"/>
      <c r="H24" s="21"/>
      <c r="I24" s="21"/>
      <c r="J24" s="22"/>
      <c r="K24" s="22"/>
      <c r="L24" s="23"/>
      <c r="M24" s="23"/>
      <c r="N24" s="24"/>
      <c r="O24" s="24"/>
      <c r="P24" s="24"/>
      <c r="Q24" s="25"/>
      <c r="R24" s="25"/>
      <c r="S24" s="25"/>
      <c r="T24" s="26"/>
      <c r="U24" s="26"/>
      <c r="V24" s="26"/>
      <c r="W24" s="27"/>
      <c r="X24" s="27"/>
      <c r="Y24" s="27"/>
      <c r="Z24" s="28"/>
      <c r="AA24" s="28"/>
    </row>
  </sheetData>
  <dataValidations count="1">
    <dataValidation type="list" errorStyle="information" allowBlank="1" showInputMessage="1" sqref="C1" xr:uid="{45025933-3D99-4D1D-9E80-415F52FE15F0}">
      <formula1>"7/1/2026,8/1/2026"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FA846-9FA8-4210-A91C-87FC9F020C0F}">
  <sheetPr codeName="Sheet27"/>
  <dimension ref="A1:H56"/>
  <sheetViews>
    <sheetView topLeftCell="A19" zoomScale="85" zoomScaleNormal="85" workbookViewId="0">
      <selection activeCell="L39" sqref="L39"/>
    </sheetView>
  </sheetViews>
  <sheetFormatPr defaultRowHeight="15" x14ac:dyDescent="0.25"/>
  <cols>
    <col min="1" max="1" width="12.7109375" style="16" customWidth="1"/>
    <col min="2" max="3" width="20.7109375" customWidth="1"/>
    <col min="4" max="8" width="12.7109375" customWidth="1"/>
  </cols>
  <sheetData>
    <row r="1" spans="1:8" x14ac:dyDescent="0.25">
      <c r="A1" s="16" t="s">
        <v>76</v>
      </c>
      <c r="B1" t="s">
        <v>223</v>
      </c>
      <c r="C1" t="s">
        <v>224</v>
      </c>
      <c r="D1" t="s">
        <v>225</v>
      </c>
      <c r="E1" t="s">
        <v>226</v>
      </c>
      <c r="F1" t="s">
        <v>144</v>
      </c>
      <c r="G1" t="s">
        <v>145</v>
      </c>
      <c r="H1" t="s">
        <v>218</v>
      </c>
    </row>
    <row r="2" spans="1:8" x14ac:dyDescent="0.25">
      <c r="A2" s="16">
        <v>46239</v>
      </c>
      <c r="B2" t="s">
        <v>146</v>
      </c>
      <c r="G2">
        <v>110</v>
      </c>
    </row>
    <row r="3" spans="1:8" x14ac:dyDescent="0.25">
      <c r="A3" s="16">
        <v>46239</v>
      </c>
      <c r="B3" t="s">
        <v>147</v>
      </c>
      <c r="C3" t="s">
        <v>148</v>
      </c>
    </row>
    <row r="4" spans="1:8" x14ac:dyDescent="0.25">
      <c r="A4" s="16">
        <v>46239</v>
      </c>
      <c r="C4" t="s">
        <v>149</v>
      </c>
    </row>
    <row r="5" spans="1:8" x14ac:dyDescent="0.25">
      <c r="A5" s="16">
        <v>46239</v>
      </c>
      <c r="C5" t="s">
        <v>150</v>
      </c>
    </row>
    <row r="6" spans="1:8" x14ac:dyDescent="0.25">
      <c r="A6" s="16">
        <v>46239</v>
      </c>
      <c r="C6" t="s">
        <v>151</v>
      </c>
    </row>
    <row r="7" spans="1:8" x14ac:dyDescent="0.25">
      <c r="A7" s="16">
        <v>46239</v>
      </c>
      <c r="B7" t="s">
        <v>152</v>
      </c>
      <c r="C7" t="s">
        <v>153</v>
      </c>
    </row>
    <row r="8" spans="1:8" x14ac:dyDescent="0.25">
      <c r="A8" s="16">
        <v>46239</v>
      </c>
      <c r="C8" t="s">
        <v>154</v>
      </c>
    </row>
    <row r="9" spans="1:8" x14ac:dyDescent="0.25">
      <c r="A9" s="16">
        <v>46239</v>
      </c>
      <c r="C9" t="s">
        <v>155</v>
      </c>
    </row>
    <row r="10" spans="1:8" x14ac:dyDescent="0.25">
      <c r="A10" s="16">
        <v>46239</v>
      </c>
      <c r="C10" t="s">
        <v>156</v>
      </c>
    </row>
    <row r="11" spans="1:8" x14ac:dyDescent="0.25">
      <c r="A11" s="16">
        <v>46239</v>
      </c>
      <c r="C11" t="s">
        <v>157</v>
      </c>
    </row>
    <row r="12" spans="1:8" x14ac:dyDescent="0.25">
      <c r="A12" s="16">
        <v>46239</v>
      </c>
      <c r="C12" t="s">
        <v>158</v>
      </c>
    </row>
    <row r="13" spans="1:8" x14ac:dyDescent="0.25">
      <c r="A13" s="16">
        <v>46239</v>
      </c>
      <c r="C13" t="s">
        <v>159</v>
      </c>
    </row>
    <row r="14" spans="1:8" x14ac:dyDescent="0.25">
      <c r="A14" s="16">
        <v>46239</v>
      </c>
      <c r="C14" t="s">
        <v>160</v>
      </c>
    </row>
    <row r="15" spans="1:8" x14ac:dyDescent="0.25">
      <c r="A15" s="16">
        <v>46239</v>
      </c>
      <c r="B15" t="s">
        <v>161</v>
      </c>
      <c r="C15" t="s">
        <v>162</v>
      </c>
      <c r="D15">
        <v>5</v>
      </c>
      <c r="F15">
        <v>400</v>
      </c>
      <c r="H15">
        <v>2000</v>
      </c>
    </row>
    <row r="16" spans="1:8" x14ac:dyDescent="0.25">
      <c r="A16" s="16">
        <v>46239</v>
      </c>
      <c r="C16" t="s">
        <v>163</v>
      </c>
      <c r="D16">
        <v>10</v>
      </c>
      <c r="F16">
        <v>300</v>
      </c>
      <c r="H16">
        <v>3000</v>
      </c>
    </row>
    <row r="17" spans="1:3" x14ac:dyDescent="0.25">
      <c r="A17" s="16">
        <v>46239</v>
      </c>
      <c r="C17" t="s">
        <v>229</v>
      </c>
    </row>
    <row r="18" spans="1:3" x14ac:dyDescent="0.25">
      <c r="A18" s="16">
        <v>46239</v>
      </c>
      <c r="C18" t="s">
        <v>230</v>
      </c>
    </row>
    <row r="19" spans="1:3" x14ac:dyDescent="0.25">
      <c r="A19" s="16">
        <v>46239</v>
      </c>
      <c r="C19" t="s">
        <v>164</v>
      </c>
    </row>
    <row r="20" spans="1:3" x14ac:dyDescent="0.25">
      <c r="A20" s="16">
        <v>46239</v>
      </c>
      <c r="C20" t="s">
        <v>165</v>
      </c>
    </row>
    <row r="21" spans="1:3" x14ac:dyDescent="0.25">
      <c r="A21" s="16">
        <v>46239</v>
      </c>
      <c r="C21" t="s">
        <v>166</v>
      </c>
    </row>
    <row r="22" spans="1:3" x14ac:dyDescent="0.25">
      <c r="A22" s="16">
        <v>46239</v>
      </c>
      <c r="B22" t="s">
        <v>167</v>
      </c>
      <c r="C22" t="s">
        <v>146</v>
      </c>
    </row>
    <row r="23" spans="1:3" x14ac:dyDescent="0.25">
      <c r="A23" s="16">
        <v>46239</v>
      </c>
      <c r="C23" t="s">
        <v>168</v>
      </c>
    </row>
    <row r="24" spans="1:3" x14ac:dyDescent="0.25">
      <c r="A24" s="16">
        <v>46239</v>
      </c>
      <c r="C24" t="s">
        <v>169</v>
      </c>
    </row>
    <row r="25" spans="1:3" x14ac:dyDescent="0.25">
      <c r="A25" s="16">
        <v>46239</v>
      </c>
      <c r="C25" t="s">
        <v>170</v>
      </c>
    </row>
    <row r="26" spans="1:3" x14ac:dyDescent="0.25">
      <c r="A26" s="16">
        <v>46239</v>
      </c>
      <c r="C26" t="s">
        <v>171</v>
      </c>
    </row>
    <row r="27" spans="1:3" x14ac:dyDescent="0.25">
      <c r="A27" s="16">
        <v>46239</v>
      </c>
      <c r="B27" t="s">
        <v>172</v>
      </c>
      <c r="C27" t="s">
        <v>173</v>
      </c>
    </row>
    <row r="28" spans="1:3" x14ac:dyDescent="0.25">
      <c r="A28" s="16">
        <v>46239</v>
      </c>
      <c r="C28" t="s">
        <v>174</v>
      </c>
    </row>
    <row r="29" spans="1:3" x14ac:dyDescent="0.25">
      <c r="A29" s="16">
        <v>46239</v>
      </c>
      <c r="C29" t="s">
        <v>175</v>
      </c>
    </row>
    <row r="30" spans="1:3" x14ac:dyDescent="0.25">
      <c r="A30" s="16">
        <v>46239</v>
      </c>
      <c r="C30" t="s">
        <v>176</v>
      </c>
    </row>
    <row r="31" spans="1:3" x14ac:dyDescent="0.25">
      <c r="A31" s="16">
        <v>46239</v>
      </c>
      <c r="C31" t="s">
        <v>177</v>
      </c>
    </row>
    <row r="32" spans="1:3" x14ac:dyDescent="0.25">
      <c r="A32" s="16">
        <v>46239</v>
      </c>
      <c r="B32" t="s">
        <v>178</v>
      </c>
      <c r="C32" t="s">
        <v>179</v>
      </c>
    </row>
    <row r="33" spans="1:6" x14ac:dyDescent="0.25">
      <c r="A33" s="16">
        <v>46239</v>
      </c>
      <c r="C33" t="s">
        <v>180</v>
      </c>
    </row>
    <row r="34" spans="1:6" x14ac:dyDescent="0.25">
      <c r="A34" s="16">
        <v>46239</v>
      </c>
      <c r="C34" t="s">
        <v>181</v>
      </c>
    </row>
    <row r="35" spans="1:6" x14ac:dyDescent="0.25">
      <c r="A35" s="16">
        <v>46239</v>
      </c>
      <c r="C35" t="s">
        <v>182</v>
      </c>
    </row>
    <row r="36" spans="1:6" x14ac:dyDescent="0.25">
      <c r="A36" s="16">
        <v>46239</v>
      </c>
      <c r="C36" t="s">
        <v>183</v>
      </c>
    </row>
    <row r="37" spans="1:6" x14ac:dyDescent="0.25">
      <c r="A37" s="16">
        <v>46239</v>
      </c>
      <c r="C37" t="s">
        <v>184</v>
      </c>
    </row>
    <row r="38" spans="1:6" x14ac:dyDescent="0.25">
      <c r="A38" s="16">
        <v>46239</v>
      </c>
      <c r="B38" t="s">
        <v>185</v>
      </c>
      <c r="C38" t="s">
        <v>186</v>
      </c>
    </row>
    <row r="39" spans="1:6" x14ac:dyDescent="0.25">
      <c r="A39" s="16">
        <v>46239</v>
      </c>
      <c r="C39" t="s">
        <v>203</v>
      </c>
      <c r="D39">
        <v>0.7</v>
      </c>
      <c r="F39">
        <v>400</v>
      </c>
    </row>
    <row r="40" spans="1:6" x14ac:dyDescent="0.25">
      <c r="A40" s="16">
        <v>46239</v>
      </c>
      <c r="C40" t="s">
        <v>204</v>
      </c>
      <c r="D40">
        <v>1</v>
      </c>
      <c r="F40">
        <v>220</v>
      </c>
    </row>
    <row r="41" spans="1:6" x14ac:dyDescent="0.25">
      <c r="A41" s="16">
        <v>46239</v>
      </c>
      <c r="C41" t="s">
        <v>205</v>
      </c>
      <c r="E41" t="s">
        <v>206</v>
      </c>
      <c r="F41">
        <v>5</v>
      </c>
    </row>
    <row r="42" spans="1:6" x14ac:dyDescent="0.25">
      <c r="A42" s="16">
        <v>46239</v>
      </c>
      <c r="C42" t="s">
        <v>207</v>
      </c>
      <c r="E42" t="s">
        <v>208</v>
      </c>
      <c r="F42">
        <v>5</v>
      </c>
    </row>
    <row r="43" spans="1:6" x14ac:dyDescent="0.25">
      <c r="A43" s="16">
        <v>46239</v>
      </c>
      <c r="B43" t="s">
        <v>187</v>
      </c>
      <c r="C43" t="s">
        <v>188</v>
      </c>
    </row>
    <row r="44" spans="1:6" x14ac:dyDescent="0.25">
      <c r="A44" s="16">
        <v>46239</v>
      </c>
      <c r="C44" t="s">
        <v>189</v>
      </c>
    </row>
    <row r="45" spans="1:6" x14ac:dyDescent="0.25">
      <c r="A45" s="16">
        <v>46239</v>
      </c>
      <c r="B45" t="s">
        <v>190</v>
      </c>
      <c r="C45" t="s">
        <v>191</v>
      </c>
    </row>
    <row r="46" spans="1:6" x14ac:dyDescent="0.25">
      <c r="A46" s="16">
        <v>46239</v>
      </c>
      <c r="C46" t="s">
        <v>192</v>
      </c>
    </row>
    <row r="47" spans="1:6" x14ac:dyDescent="0.25">
      <c r="A47" s="16">
        <v>46239</v>
      </c>
      <c r="C47" t="s">
        <v>193</v>
      </c>
    </row>
    <row r="48" spans="1:6" x14ac:dyDescent="0.25">
      <c r="A48" s="16">
        <v>46239</v>
      </c>
      <c r="C48" t="s">
        <v>194</v>
      </c>
    </row>
    <row r="49" spans="1:8" x14ac:dyDescent="0.25">
      <c r="A49" s="16">
        <v>46239</v>
      </c>
      <c r="B49" t="s">
        <v>209</v>
      </c>
      <c r="C49" t="s">
        <v>210</v>
      </c>
      <c r="D49">
        <v>1</v>
      </c>
      <c r="F49">
        <v>560</v>
      </c>
    </row>
    <row r="50" spans="1:8" x14ac:dyDescent="0.25">
      <c r="A50" s="16">
        <v>46239</v>
      </c>
      <c r="C50" t="s">
        <v>211</v>
      </c>
      <c r="D50">
        <v>0.5</v>
      </c>
      <c r="F50">
        <v>900</v>
      </c>
      <c r="G50">
        <v>70</v>
      </c>
    </row>
    <row r="51" spans="1:8" x14ac:dyDescent="0.25">
      <c r="A51" s="16">
        <v>46239</v>
      </c>
      <c r="C51" t="s">
        <v>212</v>
      </c>
      <c r="D51">
        <v>0.5</v>
      </c>
      <c r="F51">
        <v>600</v>
      </c>
    </row>
    <row r="52" spans="1:8" x14ac:dyDescent="0.25">
      <c r="A52" s="16">
        <v>46239</v>
      </c>
      <c r="B52" t="s">
        <v>214</v>
      </c>
      <c r="C52" t="s">
        <v>213</v>
      </c>
    </row>
    <row r="53" spans="1:8" x14ac:dyDescent="0.25">
      <c r="A53" s="16">
        <v>46239</v>
      </c>
      <c r="C53" t="s">
        <v>215</v>
      </c>
      <c r="E53">
        <v>40</v>
      </c>
      <c r="F53">
        <v>10</v>
      </c>
    </row>
    <row r="54" spans="1:8" x14ac:dyDescent="0.25">
      <c r="A54" s="16">
        <v>46240</v>
      </c>
      <c r="C54" t="s">
        <v>229</v>
      </c>
      <c r="D54">
        <v>2</v>
      </c>
      <c r="F54">
        <v>270</v>
      </c>
      <c r="H54">
        <v>540</v>
      </c>
    </row>
    <row r="55" spans="1:8" x14ac:dyDescent="0.25">
      <c r="A55" s="16">
        <v>46240</v>
      </c>
      <c r="C55" t="s">
        <v>166</v>
      </c>
      <c r="D55">
        <v>4.2</v>
      </c>
      <c r="F55">
        <v>350</v>
      </c>
      <c r="G55">
        <v>70</v>
      </c>
      <c r="H55">
        <v>1540</v>
      </c>
    </row>
    <row r="56" spans="1:8" x14ac:dyDescent="0.25">
      <c r="A56" s="16">
        <v>46270</v>
      </c>
    </row>
  </sheetData>
  <conditionalFormatting sqref="A2:A55">
    <cfRule type="expression" dxfId="1" priority="1">
      <formula>$A2=$A1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2FA4D-15B2-42D5-8877-2BBB9D06CD9D}">
  <sheetPr codeName="Sheet24"/>
  <dimension ref="A1:AB48"/>
  <sheetViews>
    <sheetView tabSelected="1" workbookViewId="0">
      <pane ySplit="1" topLeftCell="A2" activePane="bottomLeft" state="frozenSplit"/>
      <selection activeCell="A2" sqref="A2"/>
      <selection pane="bottomLeft" activeCell="A26" sqref="A26:AB26"/>
    </sheetView>
  </sheetViews>
  <sheetFormatPr defaultRowHeight="15" x14ac:dyDescent="0.25"/>
  <cols>
    <col min="1" max="1" width="8.7109375" bestFit="1" customWidth="1"/>
    <col min="2" max="2" width="12.7109375" bestFit="1" customWidth="1"/>
    <col min="3" max="3" width="9.140625" bestFit="1" customWidth="1"/>
    <col min="4" max="4" width="12.7109375" bestFit="1" customWidth="1"/>
    <col min="5" max="5" width="9.7109375" bestFit="1" customWidth="1"/>
    <col min="6" max="6" width="8" bestFit="1" customWidth="1"/>
    <col min="7" max="7" width="15.5703125" bestFit="1" customWidth="1"/>
    <col min="8" max="8" width="9.42578125" bestFit="1" customWidth="1"/>
    <col min="9" max="9" width="11.42578125" bestFit="1" customWidth="1"/>
    <col min="10" max="10" width="9.42578125" bestFit="1" customWidth="1"/>
    <col min="11" max="11" width="8.28515625" bestFit="1" customWidth="1"/>
    <col min="12" max="12" width="9.42578125" bestFit="1" customWidth="1"/>
    <col min="13" max="13" width="14.28515625" bestFit="1" customWidth="1"/>
    <col min="14" max="14" width="13.42578125" bestFit="1" customWidth="1"/>
    <col min="15" max="15" width="13.140625" bestFit="1" customWidth="1"/>
    <col min="16" max="16" width="8.7109375" bestFit="1" customWidth="1"/>
    <col min="17" max="17" width="9.42578125" bestFit="1" customWidth="1"/>
    <col min="18" max="18" width="15.7109375" bestFit="1" customWidth="1"/>
    <col min="19" max="19" width="8.7109375" bestFit="1" customWidth="1"/>
    <col min="20" max="20" width="9.42578125" bestFit="1" customWidth="1"/>
    <col min="21" max="21" width="11.140625" bestFit="1" customWidth="1"/>
    <col min="22" max="22" width="9.42578125" bestFit="1" customWidth="1"/>
    <col min="23" max="23" width="8.7109375" bestFit="1" customWidth="1"/>
    <col min="24" max="24" width="10.140625" bestFit="1" customWidth="1"/>
    <col min="25" max="25" width="13.42578125" bestFit="1" customWidth="1"/>
    <col min="26" max="26" width="9.42578125" bestFit="1" customWidth="1"/>
    <col min="27" max="27" width="15" bestFit="1" customWidth="1"/>
    <col min="28" max="28" width="9.42578125" bestFit="1" customWidth="1"/>
  </cols>
  <sheetData>
    <row r="1" spans="1:28" ht="21.95" customHeight="1" x14ac:dyDescent="0.25">
      <c r="A1" s="50" t="s">
        <v>235</v>
      </c>
      <c r="B1" s="32" t="s">
        <v>78</v>
      </c>
      <c r="C1" s="32" t="s">
        <v>84</v>
      </c>
      <c r="D1" s="33" t="s">
        <v>232</v>
      </c>
      <c r="E1" s="33" t="s">
        <v>76</v>
      </c>
      <c r="F1" s="33" t="s">
        <v>235</v>
      </c>
      <c r="G1" s="34" t="s">
        <v>85</v>
      </c>
      <c r="H1" s="34" t="s">
        <v>79</v>
      </c>
      <c r="I1" s="35" t="s">
        <v>86</v>
      </c>
      <c r="J1" s="35" t="s">
        <v>79</v>
      </c>
      <c r="K1" s="36" t="s">
        <v>87</v>
      </c>
      <c r="L1" s="36" t="s">
        <v>79</v>
      </c>
      <c r="M1" s="37" t="s">
        <v>88</v>
      </c>
      <c r="N1" s="37" t="s">
        <v>79</v>
      </c>
      <c r="O1" s="38" t="s">
        <v>89</v>
      </c>
      <c r="P1" s="38" t="s">
        <v>76</v>
      </c>
      <c r="Q1" s="38" t="s">
        <v>79</v>
      </c>
      <c r="R1" s="39" t="s">
        <v>90</v>
      </c>
      <c r="S1" s="39" t="s">
        <v>76</v>
      </c>
      <c r="T1" s="39" t="s">
        <v>79</v>
      </c>
      <c r="U1" s="40" t="s">
        <v>91</v>
      </c>
      <c r="V1" s="40" t="s">
        <v>79</v>
      </c>
      <c r="W1" s="40" t="s">
        <v>76</v>
      </c>
      <c r="X1" s="41" t="s">
        <v>216</v>
      </c>
      <c r="Y1" s="41" t="s">
        <v>92</v>
      </c>
      <c r="Z1" s="41" t="s">
        <v>79</v>
      </c>
      <c r="AA1" s="42" t="s">
        <v>93</v>
      </c>
      <c r="AB1" s="42" t="s">
        <v>94</v>
      </c>
    </row>
    <row r="2" spans="1:28" ht="20.100000000000001" customHeight="1" x14ac:dyDescent="0.25">
      <c r="A2" s="70" t="s">
        <v>236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</row>
    <row r="3" spans="1:28" x14ac:dyDescent="0.25">
      <c r="A3" s="65">
        <v>46204</v>
      </c>
      <c r="B3" s="64" t="s">
        <v>95</v>
      </c>
      <c r="C3" s="64">
        <v>9500</v>
      </c>
      <c r="D3" s="64"/>
      <c r="E3" s="64"/>
      <c r="F3" s="64" t="s">
        <v>200</v>
      </c>
      <c r="G3" s="64" t="s">
        <v>96</v>
      </c>
      <c r="H3" s="64">
        <v>62140</v>
      </c>
      <c r="I3" s="64" t="s">
        <v>97</v>
      </c>
      <c r="J3" s="64">
        <v>8000</v>
      </c>
      <c r="K3" s="64" t="s">
        <v>238</v>
      </c>
      <c r="L3" s="64">
        <v>35770</v>
      </c>
      <c r="M3" s="64"/>
      <c r="N3" s="64" t="s">
        <v>98</v>
      </c>
      <c r="O3" s="64" t="s">
        <v>201</v>
      </c>
      <c r="P3" s="66">
        <v>46235</v>
      </c>
      <c r="Q3" s="64">
        <v>4300</v>
      </c>
      <c r="R3" s="64" t="s">
        <v>97</v>
      </c>
      <c r="S3" s="64"/>
      <c r="T3" s="64"/>
      <c r="U3" s="64" t="s">
        <v>99</v>
      </c>
      <c r="V3" s="64">
        <v>3000</v>
      </c>
      <c r="W3" s="64"/>
      <c r="X3" s="64"/>
      <c r="Y3" s="64" t="s">
        <v>100</v>
      </c>
      <c r="Z3" s="64">
        <v>3500</v>
      </c>
      <c r="AA3" s="64">
        <v>344883</v>
      </c>
      <c r="AB3" s="64" t="s">
        <v>101</v>
      </c>
    </row>
    <row r="4" spans="1:28" x14ac:dyDescent="0.25">
      <c r="A4" s="65">
        <v>46204</v>
      </c>
      <c r="B4" s="64" t="s">
        <v>102</v>
      </c>
      <c r="C4" s="64">
        <v>10500</v>
      </c>
      <c r="D4" s="64" t="s">
        <v>103</v>
      </c>
      <c r="E4" s="64"/>
      <c r="F4" s="64" t="s">
        <v>200</v>
      </c>
      <c r="G4" s="64" t="s">
        <v>104</v>
      </c>
      <c r="H4" s="64">
        <v>75280</v>
      </c>
      <c r="I4" s="64" t="s">
        <v>105</v>
      </c>
      <c r="J4" s="64">
        <v>14000</v>
      </c>
      <c r="K4" s="64"/>
      <c r="L4" s="64"/>
      <c r="M4" s="64"/>
      <c r="N4" s="64"/>
      <c r="O4" s="64"/>
      <c r="P4" s="64"/>
      <c r="Q4" s="64"/>
      <c r="R4" s="64" t="s">
        <v>106</v>
      </c>
      <c r="S4" s="64"/>
      <c r="T4" s="64"/>
      <c r="U4" s="64" t="s">
        <v>107</v>
      </c>
      <c r="V4" s="64">
        <v>9000</v>
      </c>
      <c r="W4" s="64"/>
      <c r="X4" s="64"/>
      <c r="Y4" s="64" t="s">
        <v>108</v>
      </c>
      <c r="Z4" s="64">
        <v>4000</v>
      </c>
      <c r="AA4" s="64">
        <v>164240</v>
      </c>
      <c r="AB4" s="64" t="s">
        <v>109</v>
      </c>
    </row>
    <row r="5" spans="1:28" x14ac:dyDescent="0.25">
      <c r="A5" s="65">
        <v>46204</v>
      </c>
      <c r="B5" s="64" t="s">
        <v>110</v>
      </c>
      <c r="C5" s="64">
        <v>10500</v>
      </c>
      <c r="D5" s="64"/>
      <c r="E5" s="64"/>
      <c r="F5" s="64" t="s">
        <v>200</v>
      </c>
      <c r="G5" s="64" t="s">
        <v>111</v>
      </c>
      <c r="H5" s="64">
        <v>20150</v>
      </c>
      <c r="I5" s="64" t="s">
        <v>112</v>
      </c>
      <c r="J5" s="64">
        <v>22000</v>
      </c>
      <c r="K5" s="64"/>
      <c r="L5" s="64"/>
      <c r="M5" s="64"/>
      <c r="N5" s="64"/>
      <c r="O5" s="64"/>
      <c r="P5" s="64"/>
      <c r="Q5" s="64"/>
      <c r="R5" s="64" t="s">
        <v>113</v>
      </c>
      <c r="S5" s="64"/>
      <c r="T5" s="64"/>
      <c r="U5" s="64" t="s">
        <v>114</v>
      </c>
      <c r="V5" s="64"/>
      <c r="W5" s="66">
        <v>46239</v>
      </c>
      <c r="X5" s="64" t="s">
        <v>12</v>
      </c>
      <c r="Y5" s="64" t="s">
        <v>217</v>
      </c>
      <c r="Z5" s="64">
        <v>4000</v>
      </c>
      <c r="AA5" s="64">
        <v>52000</v>
      </c>
      <c r="AB5" s="64" t="s">
        <v>115</v>
      </c>
    </row>
    <row r="6" spans="1:28" x14ac:dyDescent="0.25">
      <c r="A6" s="65">
        <v>46204</v>
      </c>
      <c r="B6" s="64" t="s">
        <v>25</v>
      </c>
      <c r="C6" s="64">
        <v>12500</v>
      </c>
      <c r="D6" s="64"/>
      <c r="E6" s="66">
        <v>46235</v>
      </c>
      <c r="F6" s="64" t="s">
        <v>200</v>
      </c>
      <c r="G6" s="64" t="s">
        <v>116</v>
      </c>
      <c r="H6" s="64">
        <v>6560</v>
      </c>
      <c r="I6" s="64" t="s">
        <v>117</v>
      </c>
      <c r="J6" s="64">
        <v>8000</v>
      </c>
      <c r="K6" s="64"/>
      <c r="L6" s="64"/>
      <c r="M6" s="64"/>
      <c r="N6" s="64"/>
      <c r="O6" s="64"/>
      <c r="P6" s="64"/>
      <c r="Q6" s="64"/>
      <c r="R6" s="64" t="s">
        <v>116</v>
      </c>
      <c r="S6" s="64"/>
      <c r="T6" s="64"/>
      <c r="U6" s="64"/>
      <c r="V6" s="64"/>
      <c r="W6" s="64"/>
      <c r="X6" s="64"/>
      <c r="Y6" s="64"/>
      <c r="Z6" s="64"/>
      <c r="AA6" s="64">
        <v>561123</v>
      </c>
      <c r="AB6" s="64" t="s">
        <v>118</v>
      </c>
    </row>
    <row r="7" spans="1:28" x14ac:dyDescent="0.25">
      <c r="A7" s="65">
        <v>46204</v>
      </c>
      <c r="B7" s="64" t="s">
        <v>119</v>
      </c>
      <c r="C7" s="64">
        <v>8500</v>
      </c>
      <c r="D7" s="64" t="s">
        <v>120</v>
      </c>
      <c r="E7" s="66">
        <v>46239</v>
      </c>
      <c r="F7" s="64" t="s">
        <v>200</v>
      </c>
      <c r="G7" s="64" t="s">
        <v>121</v>
      </c>
      <c r="H7" s="64">
        <v>110</v>
      </c>
      <c r="I7" s="64"/>
      <c r="J7" s="64">
        <v>52000</v>
      </c>
      <c r="K7" s="64"/>
      <c r="L7" s="64"/>
      <c r="M7" s="64"/>
      <c r="N7" s="64"/>
      <c r="O7" s="64"/>
      <c r="P7" s="64"/>
      <c r="Q7" s="64"/>
      <c r="R7" s="64" t="s">
        <v>122</v>
      </c>
      <c r="S7" s="66">
        <v>46235</v>
      </c>
      <c r="T7" s="64">
        <v>1000</v>
      </c>
      <c r="U7" s="64"/>
      <c r="V7" s="64"/>
      <c r="W7" s="64"/>
      <c r="X7" s="64"/>
      <c r="Y7" s="64"/>
      <c r="Z7" s="64"/>
      <c r="AA7" s="64"/>
      <c r="AB7" s="64" t="s">
        <v>117</v>
      </c>
    </row>
    <row r="8" spans="1:28" x14ac:dyDescent="0.25">
      <c r="A8" s="65">
        <v>46204</v>
      </c>
      <c r="B8" s="64" t="s">
        <v>123</v>
      </c>
      <c r="C8" s="64">
        <v>3000</v>
      </c>
      <c r="D8" s="64"/>
      <c r="E8" s="66">
        <v>49892</v>
      </c>
      <c r="F8" s="64" t="s">
        <v>200</v>
      </c>
      <c r="G8" s="64"/>
      <c r="H8" s="64">
        <v>164240</v>
      </c>
      <c r="I8" s="64"/>
      <c r="J8" s="64"/>
      <c r="K8" s="64"/>
      <c r="L8" s="64"/>
      <c r="M8" s="64"/>
      <c r="N8" s="64"/>
      <c r="O8" s="64"/>
      <c r="P8" s="64"/>
      <c r="Q8" s="64"/>
      <c r="R8" s="64" t="s">
        <v>124</v>
      </c>
      <c r="S8" s="66">
        <v>46241</v>
      </c>
      <c r="T8" s="64">
        <v>1500</v>
      </c>
      <c r="U8" s="64"/>
      <c r="V8" s="64"/>
      <c r="W8" s="64"/>
      <c r="X8" s="64"/>
      <c r="Y8" s="64"/>
      <c r="Z8" s="64"/>
      <c r="AA8" s="64"/>
      <c r="AB8" s="64" t="s">
        <v>125</v>
      </c>
    </row>
    <row r="9" spans="1:28" x14ac:dyDescent="0.25">
      <c r="A9" s="65">
        <v>46204</v>
      </c>
      <c r="B9" s="64" t="s">
        <v>126</v>
      </c>
      <c r="C9" s="64">
        <v>14000</v>
      </c>
      <c r="D9" s="64"/>
      <c r="E9" s="66">
        <v>46235</v>
      </c>
      <c r="F9" s="64" t="s">
        <v>200</v>
      </c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</row>
    <row r="10" spans="1:28" x14ac:dyDescent="0.25">
      <c r="A10" s="65">
        <v>46204</v>
      </c>
      <c r="B10" s="64" t="s">
        <v>127</v>
      </c>
      <c r="C10" s="64">
        <v>13000</v>
      </c>
      <c r="D10" s="64" t="s">
        <v>128</v>
      </c>
      <c r="E10" s="66">
        <v>46235</v>
      </c>
      <c r="F10" s="64" t="s">
        <v>200</v>
      </c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</row>
    <row r="11" spans="1:28" x14ac:dyDescent="0.25">
      <c r="A11" s="65">
        <v>46204</v>
      </c>
      <c r="B11" s="64" t="s">
        <v>129</v>
      </c>
      <c r="C11" s="64">
        <v>10500</v>
      </c>
      <c r="D11" s="64"/>
      <c r="E11" s="66">
        <v>46239</v>
      </c>
      <c r="F11" s="64" t="s">
        <v>200</v>
      </c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</row>
    <row r="12" spans="1:28" x14ac:dyDescent="0.25">
      <c r="A12" s="65">
        <v>46204</v>
      </c>
      <c r="B12" s="64" t="s">
        <v>130</v>
      </c>
      <c r="C12" s="64">
        <v>10500</v>
      </c>
      <c r="D12" s="64" t="s">
        <v>8</v>
      </c>
      <c r="E12" s="64"/>
      <c r="F12" s="64" t="s">
        <v>200</v>
      </c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</row>
    <row r="13" spans="1:28" x14ac:dyDescent="0.25">
      <c r="A13" s="65">
        <v>46204</v>
      </c>
      <c r="B13" s="64" t="s">
        <v>131</v>
      </c>
      <c r="C13" s="64">
        <v>9000</v>
      </c>
      <c r="D13" s="64"/>
      <c r="E13" s="66">
        <v>46239</v>
      </c>
      <c r="F13" s="64" t="s">
        <v>200</v>
      </c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</row>
    <row r="14" spans="1:28" x14ac:dyDescent="0.25">
      <c r="A14" s="65">
        <v>46204</v>
      </c>
      <c r="B14" s="64" t="s">
        <v>132</v>
      </c>
      <c r="C14" s="64">
        <v>8750</v>
      </c>
      <c r="D14" s="64">
        <v>56</v>
      </c>
      <c r="E14" s="66">
        <v>46239</v>
      </c>
      <c r="F14" s="64" t="s">
        <v>200</v>
      </c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</row>
    <row r="15" spans="1:28" x14ac:dyDescent="0.25">
      <c r="A15" s="65">
        <v>46204</v>
      </c>
      <c r="B15" s="64" t="s">
        <v>133</v>
      </c>
      <c r="C15" s="64">
        <v>5000</v>
      </c>
      <c r="D15" s="64" t="s">
        <v>12</v>
      </c>
      <c r="E15" s="64"/>
      <c r="F15" s="64" t="s">
        <v>200</v>
      </c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</row>
    <row r="16" spans="1:28" x14ac:dyDescent="0.25">
      <c r="A16" s="65">
        <v>46204</v>
      </c>
      <c r="B16" s="64" t="s">
        <v>134</v>
      </c>
      <c r="C16" s="64">
        <v>10000</v>
      </c>
      <c r="D16" s="64" t="s">
        <v>12</v>
      </c>
      <c r="E16" s="64"/>
      <c r="F16" s="64" t="s">
        <v>200</v>
      </c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</row>
    <row r="17" spans="1:28" x14ac:dyDescent="0.25">
      <c r="A17" s="65">
        <v>46204</v>
      </c>
      <c r="B17" s="64" t="s">
        <v>135</v>
      </c>
      <c r="C17" s="64">
        <v>11000</v>
      </c>
      <c r="D17" s="64" t="s">
        <v>136</v>
      </c>
      <c r="E17" s="66">
        <v>46235</v>
      </c>
      <c r="F17" s="64" t="s">
        <v>200</v>
      </c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</row>
    <row r="18" spans="1:28" x14ac:dyDescent="0.25">
      <c r="A18" s="65">
        <v>46204</v>
      </c>
      <c r="B18" s="64" t="s">
        <v>137</v>
      </c>
      <c r="C18" s="64">
        <v>5000</v>
      </c>
      <c r="D18" s="64" t="s">
        <v>136</v>
      </c>
      <c r="E18" s="66">
        <v>46239</v>
      </c>
      <c r="F18" s="64" t="s">
        <v>200</v>
      </c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</row>
    <row r="19" spans="1:28" x14ac:dyDescent="0.25">
      <c r="A19" s="65">
        <v>46204</v>
      </c>
      <c r="B19" s="64" t="s">
        <v>138</v>
      </c>
      <c r="C19" s="64">
        <v>11000</v>
      </c>
      <c r="D19" s="64" t="s">
        <v>136</v>
      </c>
      <c r="E19" s="66">
        <v>46235</v>
      </c>
      <c r="F19" s="64" t="s">
        <v>200</v>
      </c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</row>
    <row r="20" spans="1:28" x14ac:dyDescent="0.25">
      <c r="A20" s="65">
        <v>46204</v>
      </c>
      <c r="B20" s="64" t="s">
        <v>139</v>
      </c>
      <c r="C20" s="64">
        <v>50000</v>
      </c>
      <c r="D20" s="64"/>
      <c r="E20" s="64"/>
      <c r="F20" s="64" t="s">
        <v>200</v>
      </c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</row>
    <row r="21" spans="1:28" x14ac:dyDescent="0.25">
      <c r="A21" s="65">
        <v>46204</v>
      </c>
      <c r="B21" s="64" t="s">
        <v>140</v>
      </c>
      <c r="C21" s="64">
        <v>1600</v>
      </c>
      <c r="D21" s="64"/>
      <c r="E21" s="64"/>
      <c r="F21" s="64" t="s">
        <v>200</v>
      </c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</row>
    <row r="22" spans="1:28" x14ac:dyDescent="0.25">
      <c r="A22" s="65">
        <v>46204</v>
      </c>
      <c r="B22" s="64" t="s">
        <v>141</v>
      </c>
      <c r="C22" s="64">
        <v>23000</v>
      </c>
      <c r="D22" s="64"/>
      <c r="E22" s="66">
        <v>46235</v>
      </c>
      <c r="F22" s="64" t="s">
        <v>200</v>
      </c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</row>
    <row r="23" spans="1:28" x14ac:dyDescent="0.25">
      <c r="A23" s="65">
        <v>46204</v>
      </c>
      <c r="B23" s="64" t="s">
        <v>142</v>
      </c>
      <c r="C23" s="64">
        <v>108033</v>
      </c>
      <c r="D23" s="64" t="s">
        <v>143</v>
      </c>
      <c r="E23" s="64"/>
      <c r="F23" s="64" t="s">
        <v>200</v>
      </c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</row>
    <row r="24" spans="1:28" x14ac:dyDescent="0.25">
      <c r="A24" s="65">
        <v>46204</v>
      </c>
      <c r="B24" s="64" t="s">
        <v>202</v>
      </c>
      <c r="C24" s="64">
        <v>10000</v>
      </c>
      <c r="D24" s="64"/>
      <c r="E24" s="66">
        <v>46235</v>
      </c>
      <c r="F24" s="64" t="s">
        <v>200</v>
      </c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</row>
    <row r="25" spans="1:28" ht="20.100000000000001" customHeight="1" x14ac:dyDescent="0.25">
      <c r="A25" s="70" t="s">
        <v>239</v>
      </c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</row>
    <row r="26" spans="1:28" ht="20.100000000000001" customHeight="1" x14ac:dyDescent="0.25">
      <c r="A26" s="71" t="s">
        <v>241</v>
      </c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</row>
    <row r="27" spans="1:28" x14ac:dyDescent="0.25">
      <c r="A27" s="67">
        <v>46235</v>
      </c>
      <c r="B27" s="64" t="s">
        <v>95</v>
      </c>
      <c r="C27" s="64">
        <v>9500</v>
      </c>
      <c r="D27" s="64"/>
      <c r="E27" s="66">
        <v>46244</v>
      </c>
      <c r="F27" s="64"/>
      <c r="G27" s="64" t="s">
        <v>96</v>
      </c>
      <c r="H27" s="64"/>
      <c r="I27" s="64" t="s">
        <v>97</v>
      </c>
      <c r="J27" s="64"/>
      <c r="K27" s="64" t="s">
        <v>238</v>
      </c>
      <c r="L27" s="64"/>
      <c r="M27" s="64"/>
      <c r="N27" s="64"/>
      <c r="O27" s="64" t="s">
        <v>201</v>
      </c>
      <c r="P27" s="64"/>
      <c r="Q27" s="64"/>
      <c r="R27" s="64" t="s">
        <v>97</v>
      </c>
      <c r="S27" s="64"/>
      <c r="T27" s="64"/>
      <c r="U27" s="64" t="s">
        <v>99</v>
      </c>
      <c r="V27" s="64"/>
      <c r="W27" s="64"/>
      <c r="X27" s="64"/>
      <c r="Y27" s="64" t="s">
        <v>100</v>
      </c>
      <c r="Z27" s="64"/>
      <c r="AA27" s="64">
        <v>344883</v>
      </c>
      <c r="AB27" s="64" t="s">
        <v>101</v>
      </c>
    </row>
    <row r="28" spans="1:28" x14ac:dyDescent="0.25">
      <c r="A28" s="67">
        <v>46235</v>
      </c>
      <c r="B28" s="64" t="s">
        <v>102</v>
      </c>
      <c r="C28" s="64">
        <v>10500</v>
      </c>
      <c r="D28" s="64" t="s">
        <v>103</v>
      </c>
      <c r="E28" s="66">
        <v>46244</v>
      </c>
      <c r="F28" s="64"/>
      <c r="G28" s="64" t="s">
        <v>104</v>
      </c>
      <c r="H28" s="64"/>
      <c r="I28" s="64" t="s">
        <v>105</v>
      </c>
      <c r="J28" s="64"/>
      <c r="K28" s="64"/>
      <c r="L28" s="64"/>
      <c r="M28" s="64"/>
      <c r="N28" s="64"/>
      <c r="O28" s="64"/>
      <c r="P28" s="64"/>
      <c r="Q28" s="64"/>
      <c r="R28" s="64" t="s">
        <v>106</v>
      </c>
      <c r="S28" s="64"/>
      <c r="T28" s="64"/>
      <c r="U28" s="64" t="s">
        <v>107</v>
      </c>
      <c r="V28" s="64"/>
      <c r="W28" s="64"/>
      <c r="X28" s="64"/>
      <c r="Y28" s="64" t="s">
        <v>108</v>
      </c>
      <c r="Z28" s="64"/>
      <c r="AA28" s="64">
        <v>164240</v>
      </c>
      <c r="AB28" s="64" t="s">
        <v>109</v>
      </c>
    </row>
    <row r="29" spans="1:28" x14ac:dyDescent="0.25">
      <c r="A29" s="67">
        <v>46235</v>
      </c>
      <c r="B29" s="64" t="s">
        <v>110</v>
      </c>
      <c r="C29" s="64">
        <v>10500</v>
      </c>
      <c r="D29" s="64"/>
      <c r="E29" s="66">
        <v>46244</v>
      </c>
      <c r="F29" s="64"/>
      <c r="G29" s="64" t="s">
        <v>111</v>
      </c>
      <c r="H29" s="64"/>
      <c r="I29" s="64" t="s">
        <v>112</v>
      </c>
      <c r="J29" s="64"/>
      <c r="K29" s="64"/>
      <c r="L29" s="64"/>
      <c r="M29" s="64"/>
      <c r="N29" s="64"/>
      <c r="O29" s="64"/>
      <c r="P29" s="64"/>
      <c r="Q29" s="64"/>
      <c r="R29" s="64" t="s">
        <v>113</v>
      </c>
      <c r="S29" s="64"/>
      <c r="T29" s="64"/>
      <c r="U29" s="64" t="s">
        <v>114</v>
      </c>
      <c r="V29" s="64"/>
      <c r="W29" s="64"/>
      <c r="X29" s="64" t="s">
        <v>12</v>
      </c>
      <c r="Y29" s="64" t="s">
        <v>217</v>
      </c>
      <c r="Z29" s="64"/>
      <c r="AA29" s="64">
        <v>52000</v>
      </c>
      <c r="AB29" s="64" t="s">
        <v>115</v>
      </c>
    </row>
    <row r="30" spans="1:28" x14ac:dyDescent="0.25">
      <c r="A30" s="67">
        <v>46235</v>
      </c>
      <c r="B30" s="64" t="s">
        <v>25</v>
      </c>
      <c r="C30" s="64">
        <v>12500</v>
      </c>
      <c r="D30" s="64"/>
      <c r="E30" s="66">
        <v>46244</v>
      </c>
      <c r="F30" s="64"/>
      <c r="G30" s="64" t="s">
        <v>116</v>
      </c>
      <c r="H30" s="64"/>
      <c r="I30" s="64" t="s">
        <v>117</v>
      </c>
      <c r="J30" s="64"/>
      <c r="K30" s="64"/>
      <c r="L30" s="64"/>
      <c r="M30" s="64"/>
      <c r="N30" s="64"/>
      <c r="O30" s="64"/>
      <c r="P30" s="64"/>
      <c r="Q30" s="64"/>
      <c r="R30" s="64" t="s">
        <v>116</v>
      </c>
      <c r="S30" s="64"/>
      <c r="T30" s="64"/>
      <c r="U30" s="64"/>
      <c r="V30" s="64"/>
      <c r="W30" s="64"/>
      <c r="X30" s="64"/>
      <c r="Y30" s="64"/>
      <c r="Z30" s="64"/>
      <c r="AA30" s="64">
        <v>561123</v>
      </c>
      <c r="AB30" s="64" t="s">
        <v>118</v>
      </c>
    </row>
    <row r="31" spans="1:28" x14ac:dyDescent="0.25">
      <c r="A31" s="67">
        <v>46235</v>
      </c>
      <c r="B31" s="64" t="s">
        <v>119</v>
      </c>
      <c r="C31" s="64">
        <v>8500</v>
      </c>
      <c r="D31" s="64" t="s">
        <v>120</v>
      </c>
      <c r="E31" s="66">
        <v>46244</v>
      </c>
      <c r="F31" s="64"/>
      <c r="G31" s="64" t="s">
        <v>121</v>
      </c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 t="s">
        <v>122</v>
      </c>
      <c r="S31" s="64"/>
      <c r="T31" s="64"/>
      <c r="U31" s="64"/>
      <c r="V31" s="64"/>
      <c r="W31" s="64"/>
      <c r="X31" s="64"/>
      <c r="Y31" s="64"/>
      <c r="Z31" s="64"/>
      <c r="AA31" s="64"/>
      <c r="AB31" s="64" t="s">
        <v>117</v>
      </c>
    </row>
    <row r="32" spans="1:28" x14ac:dyDescent="0.25">
      <c r="A32" s="67">
        <v>46235</v>
      </c>
      <c r="B32" s="64" t="s">
        <v>123</v>
      </c>
      <c r="C32" s="64">
        <v>3000</v>
      </c>
      <c r="D32" s="64"/>
      <c r="E32" s="66">
        <v>46244</v>
      </c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 t="s">
        <v>124</v>
      </c>
      <c r="S32" s="64"/>
      <c r="T32" s="64"/>
      <c r="U32" s="64"/>
      <c r="V32" s="64"/>
      <c r="W32" s="64"/>
      <c r="X32" s="64"/>
      <c r="Y32" s="64"/>
      <c r="Z32" s="64"/>
      <c r="AA32" s="64"/>
      <c r="AB32" s="64" t="s">
        <v>125</v>
      </c>
    </row>
    <row r="33" spans="1:28" x14ac:dyDescent="0.25">
      <c r="A33" s="67">
        <v>46235</v>
      </c>
      <c r="B33" s="64" t="s">
        <v>126</v>
      </c>
      <c r="C33" s="64">
        <v>14000</v>
      </c>
      <c r="D33" s="64"/>
      <c r="E33" s="66">
        <v>46244</v>
      </c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</row>
    <row r="34" spans="1:28" x14ac:dyDescent="0.25">
      <c r="A34" s="67">
        <v>46235</v>
      </c>
      <c r="B34" s="64" t="s">
        <v>127</v>
      </c>
      <c r="C34" s="64">
        <v>13000</v>
      </c>
      <c r="D34" s="64" t="s">
        <v>128</v>
      </c>
      <c r="E34" s="66">
        <v>46244</v>
      </c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</row>
    <row r="35" spans="1:28" x14ac:dyDescent="0.25">
      <c r="A35" s="67">
        <v>46235</v>
      </c>
      <c r="B35" s="64" t="s">
        <v>129</v>
      </c>
      <c r="C35" s="64">
        <v>10500</v>
      </c>
      <c r="D35" s="64"/>
      <c r="E35" s="66">
        <v>46244</v>
      </c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</row>
    <row r="36" spans="1:28" x14ac:dyDescent="0.25">
      <c r="A36" s="67">
        <v>46235</v>
      </c>
      <c r="B36" s="64" t="s">
        <v>130</v>
      </c>
      <c r="C36" s="64">
        <v>10500</v>
      </c>
      <c r="D36" s="64" t="s">
        <v>8</v>
      </c>
      <c r="E36" s="66">
        <v>46244</v>
      </c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</row>
    <row r="37" spans="1:28" x14ac:dyDescent="0.25">
      <c r="A37" s="67">
        <v>46235</v>
      </c>
      <c r="B37" s="64" t="s">
        <v>131</v>
      </c>
      <c r="C37" s="64">
        <v>9000</v>
      </c>
      <c r="D37" s="64"/>
      <c r="E37" s="66">
        <v>46244</v>
      </c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</row>
    <row r="38" spans="1:28" x14ac:dyDescent="0.25">
      <c r="A38" s="67">
        <v>46235</v>
      </c>
      <c r="B38" s="64" t="s">
        <v>132</v>
      </c>
      <c r="C38" s="64">
        <v>8750</v>
      </c>
      <c r="D38" s="64">
        <v>56</v>
      </c>
      <c r="E38" s="66">
        <v>46244</v>
      </c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</row>
    <row r="39" spans="1:28" x14ac:dyDescent="0.25">
      <c r="A39" s="67">
        <v>46235</v>
      </c>
      <c r="B39" s="64" t="s">
        <v>133</v>
      </c>
      <c r="C39" s="64">
        <v>5000</v>
      </c>
      <c r="D39" s="64" t="s">
        <v>12</v>
      </c>
      <c r="E39" s="66">
        <v>46244</v>
      </c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</row>
    <row r="40" spans="1:28" x14ac:dyDescent="0.25">
      <c r="A40" s="67">
        <v>46235</v>
      </c>
      <c r="B40" s="64" t="s">
        <v>134</v>
      </c>
      <c r="C40" s="64">
        <v>10000</v>
      </c>
      <c r="D40" s="64" t="s">
        <v>12</v>
      </c>
      <c r="E40" s="66">
        <v>46244</v>
      </c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</row>
    <row r="41" spans="1:28" x14ac:dyDescent="0.25">
      <c r="A41" s="67">
        <v>46235</v>
      </c>
      <c r="B41" s="64" t="s">
        <v>135</v>
      </c>
      <c r="C41" s="64">
        <v>11000</v>
      </c>
      <c r="D41" s="64" t="s">
        <v>136</v>
      </c>
      <c r="E41" s="66">
        <v>46244</v>
      </c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</row>
    <row r="42" spans="1:28" x14ac:dyDescent="0.25">
      <c r="A42" s="67">
        <v>46235</v>
      </c>
      <c r="B42" s="64" t="s">
        <v>137</v>
      </c>
      <c r="C42" s="64">
        <v>5000</v>
      </c>
      <c r="D42" s="64" t="s">
        <v>136</v>
      </c>
      <c r="E42" s="66">
        <v>46244</v>
      </c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</row>
    <row r="43" spans="1:28" x14ac:dyDescent="0.25">
      <c r="A43" s="67">
        <v>46235</v>
      </c>
      <c r="B43" s="64" t="s">
        <v>138</v>
      </c>
      <c r="C43" s="64">
        <v>11000</v>
      </c>
      <c r="D43" s="64" t="s">
        <v>136</v>
      </c>
      <c r="E43" s="66">
        <v>46244</v>
      </c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</row>
    <row r="44" spans="1:28" x14ac:dyDescent="0.25">
      <c r="A44" s="67">
        <v>46235</v>
      </c>
      <c r="B44" s="64" t="s">
        <v>139</v>
      </c>
      <c r="C44" s="64">
        <v>50000</v>
      </c>
      <c r="D44" s="64"/>
      <c r="E44" s="66">
        <v>46244</v>
      </c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</row>
    <row r="45" spans="1:28" x14ac:dyDescent="0.25">
      <c r="A45" s="67">
        <v>46235</v>
      </c>
      <c r="B45" s="64" t="s">
        <v>140</v>
      </c>
      <c r="C45" s="64">
        <v>1600</v>
      </c>
      <c r="D45" s="64"/>
      <c r="E45" s="66">
        <v>46244</v>
      </c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</row>
    <row r="46" spans="1:28" x14ac:dyDescent="0.25">
      <c r="A46" s="67">
        <v>46235</v>
      </c>
      <c r="B46" s="64" t="s">
        <v>141</v>
      </c>
      <c r="C46" s="64">
        <v>23000</v>
      </c>
      <c r="D46" s="64"/>
      <c r="E46" s="66">
        <v>46244</v>
      </c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</row>
    <row r="47" spans="1:28" x14ac:dyDescent="0.25">
      <c r="A47" s="67">
        <v>46235</v>
      </c>
      <c r="B47" s="64" t="s">
        <v>142</v>
      </c>
      <c r="C47" s="64">
        <v>108033</v>
      </c>
      <c r="D47" s="64" t="s">
        <v>143</v>
      </c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</row>
    <row r="48" spans="1:28" x14ac:dyDescent="0.25">
      <c r="A48" s="67">
        <v>46235</v>
      </c>
      <c r="B48" s="64" t="s">
        <v>202</v>
      </c>
      <c r="C48" s="64">
        <v>10000</v>
      </c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</row>
  </sheetData>
  <mergeCells count="3">
    <mergeCell ref="A2:AB2"/>
    <mergeCell ref="A25:AB25"/>
    <mergeCell ref="A26:AB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"/>
  <sheetViews>
    <sheetView zoomScale="130" zoomScaleNormal="130" workbookViewId="0">
      <selection activeCell="F5" sqref="F5"/>
    </sheetView>
  </sheetViews>
  <sheetFormatPr defaultColWidth="11.42578125" defaultRowHeight="15" x14ac:dyDescent="0.25"/>
  <cols>
    <col min="1" max="1" width="6.85546875" customWidth="1"/>
    <col min="2" max="2" width="7.7109375" customWidth="1"/>
    <col min="3" max="3" width="13.7109375" customWidth="1"/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68</v>
      </c>
      <c r="E2">
        <f>SUMIF('RENT DATA'!A:A, "MUJIB*", 'RENT DATA'!C:C)</f>
        <v>25000</v>
      </c>
      <c r="G2" t="str">
        <f>VLOOKUP("MUJIB*", 'RENT DATA'!A:E, 5, FALSE)</f>
        <v>GRP 4</v>
      </c>
      <c r="H2">
        <f>E2-F2</f>
        <v>25000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2"/>
  <sheetViews>
    <sheetView zoomScale="130" zoomScaleNormal="130"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70</v>
      </c>
      <c r="E2">
        <f>SUMIF('RENT DATA'!A:A, "PERVAZ*", 'RENT DATA'!C:C)</f>
        <v>45000</v>
      </c>
      <c r="G2" t="str">
        <f>VLOOKUP("PERVAZ*", 'RENT DATA'!A:E, 5, FALSE)</f>
        <v>GRP 5</v>
      </c>
      <c r="H2">
        <f>E2-F2</f>
        <v>45000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2"/>
  <sheetViews>
    <sheetView workbookViewId="0">
      <selection activeCell="I20" sqref="I20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A2" s="4"/>
      <c r="D2" t="s">
        <v>73</v>
      </c>
      <c r="E2">
        <f>SUMIF('RENT DATA'!A:A, "AZHAR*", 'RENT DATA'!C:C)</f>
        <v>11500</v>
      </c>
      <c r="G2" t="str">
        <f>VLOOKUP("AZHAR*", 'RENT DATA'!A:E, 5, FALSE)</f>
        <v>GRP 5</v>
      </c>
      <c r="H2">
        <f>E2-F2</f>
        <v>11500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58</v>
      </c>
      <c r="E2">
        <f>SUMIF('RENT DATA'!A:A, "HYDER*", 'RENT DATA'!C:C)</f>
        <v>25000</v>
      </c>
      <c r="G2" t="str">
        <f>VLOOKUP("HYDER*", 'RENT DATA'!A:E, 5, FALSE)</f>
        <v>GRP 3</v>
      </c>
      <c r="H2">
        <f>E2-F2</f>
        <v>25000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2"/>
  <sheetViews>
    <sheetView workbookViewId="0">
      <selection activeCell="F2" sqref="F2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59</v>
      </c>
      <c r="E2">
        <f>SUMIF('RENT DATA'!A:A, "RAFAT*", 'RENT DATA'!C:C)</f>
        <v>15000</v>
      </c>
      <c r="G2" t="str">
        <f>VLOOKUP("RAFAT*", 'RENT DATA'!A:E, 5, FALSE)</f>
        <v>GRP 3</v>
      </c>
      <c r="H2">
        <f>E2-F2</f>
        <v>15000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55</v>
      </c>
      <c r="E2">
        <f>SUMIF('RENT DATA'!A:A, "MOIN*", 'RENT DATA'!C:C)</f>
        <v>27000</v>
      </c>
      <c r="G2" t="str">
        <f>VLOOKUP("MOIN*", 'RENT DATA'!A:E, 5, FALSE)</f>
        <v>GRP 3</v>
      </c>
      <c r="H2">
        <f>E2-F2</f>
        <v>27000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3"/>
  <sheetViews>
    <sheetView zoomScale="145" zoomScaleNormal="145" workbookViewId="0">
      <selection activeCell="F2" sqref="F2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A2" s="4">
        <v>46235</v>
      </c>
      <c r="B2" t="s">
        <v>197</v>
      </c>
      <c r="C2" t="s">
        <v>198</v>
      </c>
      <c r="D2" t="s">
        <v>199</v>
      </c>
      <c r="E2">
        <f>SUMIF('RENT DATA'!A:A, "ANAS*", 'RENT DATA'!C:C)</f>
        <v>119600</v>
      </c>
      <c r="F2">
        <v>119600</v>
      </c>
      <c r="G2" t="str">
        <f>VLOOKUP("ANAS*", 'RENT DATA'!A:E, 5, FALSE)</f>
        <v>GRP 1</v>
      </c>
      <c r="H2">
        <f>E2-F2</f>
        <v>0</v>
      </c>
    </row>
    <row r="3" spans="1:8" x14ac:dyDescent="0.25">
      <c r="A3" s="4">
        <v>46266</v>
      </c>
      <c r="D3" t="s">
        <v>199</v>
      </c>
      <c r="E3">
        <f>SUMIF('RENT DATA'!A:A, "ANAS*", 'RENT DATA'!C:C)</f>
        <v>119600</v>
      </c>
      <c r="G3" t="str">
        <f>VLOOKUP("ANAS*", 'RENT DATA'!A:E, 5, FALSE)</f>
        <v>GRP 1</v>
      </c>
      <c r="H3">
        <f>E3-F3</f>
        <v>119600</v>
      </c>
    </row>
  </sheetData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H3"/>
  <sheetViews>
    <sheetView zoomScale="160" zoomScaleNormal="160" workbookViewId="0">
      <selection activeCell="C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A2" s="4">
        <v>46239</v>
      </c>
      <c r="B2" t="s">
        <v>197</v>
      </c>
      <c r="C2" t="s">
        <v>198</v>
      </c>
      <c r="D2" t="s">
        <v>14</v>
      </c>
      <c r="E2">
        <f>SUMIF('RENT DATA'!A:A, "AZIM*", 'RENT DATA'!C:C)</f>
        <v>26000</v>
      </c>
      <c r="F2">
        <v>26000</v>
      </c>
      <c r="G2" t="str">
        <f>VLOOKUP("AZIM*", 'RENT DATA'!A:E, 5, FALSE)</f>
        <v>GRP 1</v>
      </c>
      <c r="H2">
        <f>E2-F2</f>
        <v>0</v>
      </c>
    </row>
    <row r="3" spans="1:8" x14ac:dyDescent="0.25">
      <c r="D3" t="s">
        <v>14</v>
      </c>
      <c r="E3">
        <f>SUMIF('RENT DATA'!A:A, "AZIM*", 'RENT DATA'!C:C)</f>
        <v>26000</v>
      </c>
      <c r="G3" t="str">
        <f>VLOOKUP("AZIM*", 'RENT DATA'!A:E, 5, FALSE)</f>
        <v>GRP 1</v>
      </c>
      <c r="H3">
        <f>E3-F3</f>
        <v>26000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4"/>
  <sheetViews>
    <sheetView topLeftCell="B1" zoomScale="145" zoomScaleNormal="145" workbookViewId="0">
      <selection activeCell="D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A2" s="4">
        <v>46238</v>
      </c>
      <c r="B2" t="s">
        <v>197</v>
      </c>
      <c r="C2" t="s">
        <v>198</v>
      </c>
      <c r="D2" t="s">
        <v>18</v>
      </c>
      <c r="E2">
        <f>SUMIF('RENT DATA'!A:A, "SONU*", 'RENT DATA'!C:C)</f>
        <v>20000</v>
      </c>
      <c r="F2">
        <v>20000</v>
      </c>
      <c r="G2" t="str">
        <f>VLOOKUP("SONU*", 'RENT DATA'!A:E, 5, FALSE)</f>
        <v>GRP 1</v>
      </c>
      <c r="H2">
        <f>E2-F2</f>
        <v>0</v>
      </c>
    </row>
    <row r="3" spans="1:8" x14ac:dyDescent="0.25">
      <c r="A3" s="4"/>
    </row>
    <row r="4" spans="1:8" x14ac:dyDescent="0.25">
      <c r="A4" s="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H3"/>
  <sheetViews>
    <sheetView workbookViewId="0">
      <selection activeCell="F2" sqref="F2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22</v>
      </c>
      <c r="E2">
        <f>SUMIF('RENT DATA'!A:A, "DUBEY JI*", 'RENT DATA'!C:C)</f>
        <v>50000</v>
      </c>
      <c r="F2">
        <v>50000</v>
      </c>
      <c r="G2" t="str">
        <f>VLOOKUP("DUBEY JI*", 'RENT DATA'!A:E, 5, FALSE)</f>
        <v>GRP 1</v>
      </c>
      <c r="H2">
        <f>E2-F2</f>
        <v>0</v>
      </c>
    </row>
    <row r="3" spans="1:8" x14ac:dyDescent="0.25">
      <c r="D3" t="s">
        <v>22</v>
      </c>
      <c r="E3">
        <f>SUMIF('RENT DATA'!A:A, "DUBEY JI*", 'RENT DATA'!C:C)</f>
        <v>50000</v>
      </c>
      <c r="G3" t="str">
        <f>VLOOKUP("DUBEY JI*", 'RENT DATA'!A:E, 5, FALSE)</f>
        <v>GRP 1</v>
      </c>
      <c r="H3">
        <f>E3-F3</f>
        <v>50000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H3"/>
  <sheetViews>
    <sheetView workbookViewId="0">
      <selection activeCell="A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25</v>
      </c>
      <c r="E2">
        <f>SUMIF('RENT DATA'!A:A, "KAMAL*", 'RENT DATA'!C:C)</f>
        <v>20000</v>
      </c>
      <c r="F2">
        <v>20000</v>
      </c>
      <c r="G2" t="str">
        <f>VLOOKUP("KAMAL*", 'RENT DATA'!A:E, 5, FALSE)</f>
        <v>GRP 1</v>
      </c>
      <c r="H2">
        <f>E2-F2</f>
        <v>0</v>
      </c>
    </row>
    <row r="3" spans="1:8" x14ac:dyDescent="0.25">
      <c r="D3" t="s">
        <v>25</v>
      </c>
      <c r="E3">
        <f>SUMIF('RENT DATA'!A:A, "KAMAL*", 'RENT DATA'!C:C)</f>
        <v>20000</v>
      </c>
      <c r="G3" t="str">
        <f>VLOOKUP("KAMAL*", 'RENT DATA'!A:E, 5, FALSE)</f>
        <v>GRP 1</v>
      </c>
      <c r="H3">
        <f>E3-F3</f>
        <v>20000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H2"/>
  <sheetViews>
    <sheetView workbookViewId="0">
      <selection activeCell="A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35</v>
      </c>
      <c r="E2">
        <f>SUMIF('RENT DATA'!A:A, "EJAZ*", 'RENT DATA'!C:C)</f>
        <v>75000</v>
      </c>
      <c r="G2" t="str">
        <f>VLOOKUP("EJAZ*", 'RENT DATA'!A:E, 5, FALSE)</f>
        <v>GRP 2</v>
      </c>
      <c r="H2">
        <f>E2-F2</f>
        <v>75000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H2"/>
  <sheetViews>
    <sheetView zoomScale="130" zoomScaleNormal="130"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46</v>
      </c>
      <c r="E2">
        <f>SUMIF('RENT DATA'!A:A, "NEHAL*", 'RENT DATA'!C:C)</f>
        <v>209000</v>
      </c>
      <c r="G2" t="str">
        <f>VLOOKUP("NEHAL*", 'RENT DATA'!A:E, 5, FALSE)</f>
        <v>GRP 2</v>
      </c>
      <c r="H2">
        <f>E2-F2</f>
        <v>209000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H2"/>
  <sheetViews>
    <sheetView workbookViewId="0">
      <selection activeCell="N39" sqref="N39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37</v>
      </c>
      <c r="E2">
        <f>SUMIF('RENT DATA'!A:A, "ANUJ*", 'RENT DATA'!C:C)</f>
        <v>27500</v>
      </c>
      <c r="G2" t="str">
        <f>VLOOKUP("ANUJ*", 'RENT DATA'!A:E, 5, FALSE)</f>
        <v>GRP 2</v>
      </c>
      <c r="H2">
        <f>E2-F2</f>
        <v>27500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43</v>
      </c>
      <c r="E2">
        <f>SUMIF('RENT DATA'!A:A, "ATIQUE*", 'RENT DATA'!C:C)</f>
        <v>20000</v>
      </c>
      <c r="G2" t="str">
        <f>VLOOKUP("ATIQUE*", 'RENT DATA'!A:E, 5, FALSE)</f>
        <v>GRP 2</v>
      </c>
      <c r="H2">
        <f>E2-F2</f>
        <v>20000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65</v>
      </c>
      <c r="E2">
        <f>SUMIF('RENT DATA'!A:A, "RANJAN*", 'RENT DATA'!C:C)</f>
        <v>62500</v>
      </c>
      <c r="G2" t="str">
        <f>VLOOKUP("RANJAN*", 'RENT DATA'!A:E, 5, FALSE)</f>
        <v>GRP 2</v>
      </c>
      <c r="H2">
        <f>E2-F2</f>
        <v>62500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48</v>
      </c>
      <c r="E2">
        <f>SUMIF('RENT DATA'!A:A, "MANISH*", 'RENT DATA'!C:C)</f>
        <v>38000</v>
      </c>
      <c r="G2" t="str">
        <f>VLOOKUP("MANISH*", 'RENT DATA'!A:E, 5, FALSE)</f>
        <v>GRP 2</v>
      </c>
      <c r="H2">
        <f>E2-F2</f>
        <v>38000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H2"/>
  <sheetViews>
    <sheetView workbookViewId="0">
      <selection activeCell="D4" sqref="D4"/>
    </sheetView>
  </sheetViews>
  <sheetFormatPr defaultColWidth="11.42578125" defaultRowHeight="15" x14ac:dyDescent="0.25"/>
  <cols>
    <col min="3" max="3" width="15.7109375" bestFit="1" customWidth="1"/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D2" t="s">
        <v>50</v>
      </c>
      <c r="E2">
        <f>SUMIF('RENT DATA'!A:A, "SUNNY*", 'RENT DATA'!C:C)</f>
        <v>16000</v>
      </c>
      <c r="G2" t="str">
        <f>VLOOKUP("SUNNY*", 'RENT DATA'!A:E, 5, FALSE)</f>
        <v>GRP 2</v>
      </c>
      <c r="H2">
        <f>E2-F2</f>
        <v>16000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/>
  <dimension ref="A1:H3"/>
  <sheetViews>
    <sheetView zoomScale="115" zoomScaleNormal="115" workbookViewId="0">
      <selection activeCell="F2" sqref="F2"/>
    </sheetView>
  </sheetViews>
  <sheetFormatPr defaultColWidth="8.85546875" defaultRowHeight="15" x14ac:dyDescent="0.25"/>
  <cols>
    <col min="1" max="1" width="15.7109375" customWidth="1"/>
    <col min="2" max="2" width="12.7109375" customWidth="1"/>
    <col min="3" max="3" width="20.7109375" customWidth="1"/>
    <col min="4" max="5" width="15.7109375" customWidth="1"/>
    <col min="6" max="6" width="15" customWidth="1"/>
    <col min="7" max="7" width="15.710937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6" t="s">
        <v>196</v>
      </c>
      <c r="G1" s="3" t="s">
        <v>80</v>
      </c>
      <c r="H1" s="7" t="s">
        <v>81</v>
      </c>
    </row>
    <row r="2" spans="1:8" x14ac:dyDescent="0.25">
      <c r="A2" s="4">
        <v>46235</v>
      </c>
      <c r="C2" t="s">
        <v>198</v>
      </c>
      <c r="D2" t="s">
        <v>11</v>
      </c>
      <c r="E2">
        <f>SUMIF('RENT DATA'!A:A, "NOOR MD.*", 'RENT DATA'!C:C)</f>
        <v>11000</v>
      </c>
      <c r="F2">
        <v>11000</v>
      </c>
      <c r="G2" t="str">
        <f>VLOOKUP("NOOR MD.*", 'RENT DATA'!A:E, 5, FALSE)</f>
        <v>GRP 1</v>
      </c>
      <c r="H2">
        <f>E2-F2</f>
        <v>0</v>
      </c>
    </row>
    <row r="3" spans="1:8" x14ac:dyDescent="0.25">
      <c r="A3" s="4">
        <v>46266</v>
      </c>
      <c r="D3" t="s">
        <v>11</v>
      </c>
      <c r="E3">
        <f>SUMIF('RENT DATA'!A:A, "NOOR MD.*", 'RENT DATA'!C:C)</f>
        <v>11000</v>
      </c>
      <c r="G3" t="str">
        <f>VLOOKUP("NOOR MD.*", 'RENT DATA'!A:E, 5, FALSE)</f>
        <v>GRP 1</v>
      </c>
      <c r="H3">
        <f>E3-F3</f>
        <v>11000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E55E8-337B-4E1C-9C81-C3F97A1A91DC}">
  <sheetPr codeName="Sheet25"/>
  <dimension ref="A1:H2"/>
  <sheetViews>
    <sheetView workbookViewId="0"/>
  </sheetViews>
  <sheetFormatPr defaultRowHeight="15" x14ac:dyDescent="0.25"/>
  <cols>
    <col min="1" max="1" width="15.7109375" customWidth="1"/>
    <col min="2" max="2" width="12.7109375" customWidth="1"/>
    <col min="3" max="3" width="20.7109375" customWidth="1"/>
    <col min="4" max="8" width="15.7109375" customWidth="1"/>
  </cols>
  <sheetData>
    <row r="1" spans="1:8" x14ac:dyDescent="0.25">
      <c r="A1" s="63" t="s">
        <v>76</v>
      </c>
      <c r="B1" s="63" t="s">
        <v>77</v>
      </c>
      <c r="C1" s="63" t="s">
        <v>195</v>
      </c>
      <c r="D1" s="63" t="s">
        <v>78</v>
      </c>
      <c r="E1" s="63" t="s">
        <v>79</v>
      </c>
      <c r="F1" s="63" t="s">
        <v>196</v>
      </c>
      <c r="G1" s="63" t="s">
        <v>80</v>
      </c>
      <c r="H1" s="63" t="s">
        <v>81</v>
      </c>
    </row>
    <row r="2" spans="1:8" x14ac:dyDescent="0.25">
      <c r="D2" t="s">
        <v>237</v>
      </c>
      <c r="E2">
        <f>SUMIF('RENT DATA'!A:A, "SS*", 'RENT DATA'!C:C)</f>
        <v>0</v>
      </c>
      <c r="G2" t="e">
        <f>VLOOKUP("SS*", 'RENT DATA'!A:E, 5, FALSE)</f>
        <v>#N/A</v>
      </c>
      <c r="H2">
        <f>E2-F2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RENT DATA</vt:lpstr>
      <vt:lpstr>PAYMENT SHEET</vt:lpstr>
      <vt:lpstr>PURCHASE SHEET</vt:lpstr>
      <vt:lpstr>TODAYS EXPENDITURE</vt:lpstr>
      <vt:lpstr>DATABASE_PURCHASE</vt:lpstr>
      <vt:lpstr>DATABASE_EXPENDITURE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RANJAN</vt:lpstr>
      <vt:lpstr>MANISH</vt:lpstr>
      <vt:lpstr>SUNNY</vt:lpstr>
      <vt:lpstr>NOOR MD.</vt:lpstr>
      <vt:lpstr>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2026-08-10T14:48:26Z</dcterms:modified>
</cp:coreProperties>
</file>