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6347AF8C-D165-4A90-B708-DC23A91B617C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ENT DATA" sheetId="1" r:id="rId1"/>
    <sheet name="PAYMENT SHEET" sheetId="2" r:id="rId2"/>
    <sheet name="EXPENDITURE" sheetId="3" r:id="rId3"/>
    <sheet name="PURCHASE" sheetId="5" r:id="rId4"/>
    <sheet name="MUJIB" sheetId="23" r:id="rId5"/>
    <sheet name="PERVAZ" sheetId="24" r:id="rId6"/>
    <sheet name="AZHAR" sheetId="25" r:id="rId7"/>
    <sheet name="HYDER" sheetId="21" r:id="rId8"/>
    <sheet name="RAFAT" sheetId="22" r:id="rId9"/>
    <sheet name="MOIN" sheetId="20" r:id="rId10"/>
    <sheet name="ANAS" sheetId="6" r:id="rId11"/>
    <sheet name="AZIM" sheetId="8" r:id="rId12"/>
    <sheet name="SONU" sheetId="9" r:id="rId13"/>
    <sheet name="DUBEY JI" sheetId="10" r:id="rId14"/>
    <sheet name="KAMAL" sheetId="11" r:id="rId15"/>
    <sheet name="EJAZ" sheetId="13" r:id="rId16"/>
    <sheet name="NEHAL" sheetId="14" r:id="rId17"/>
    <sheet name="ANUJ" sheetId="15" r:id="rId18"/>
    <sheet name="ATIQUE" sheetId="18" r:id="rId19"/>
    <sheet name="RANJAN" sheetId="19" r:id="rId20"/>
    <sheet name="MANISH" sheetId="12" r:id="rId21"/>
    <sheet name="SUNNY" sheetId="16" r:id="rId22"/>
    <sheet name="NOOR MD." sheetId="26" r:id="rId23"/>
  </sheets>
  <calcPr calcId="191029"/>
</workbook>
</file>

<file path=xl/calcChain.xml><?xml version="1.0" encoding="utf-8"?>
<calcChain xmlns="http://schemas.openxmlformats.org/spreadsheetml/2006/main">
  <c r="C35" i="1" l="1"/>
  <c r="C32" i="1"/>
  <c r="C29" i="1"/>
  <c r="C24" i="1"/>
  <c r="C12" i="1"/>
  <c r="C36" i="1" s="1"/>
  <c r="F2" i="25"/>
  <c r="E2" i="25"/>
  <c r="F2" i="24"/>
  <c r="E2" i="24"/>
  <c r="F2" i="23"/>
  <c r="E2" i="23"/>
  <c r="F2" i="19"/>
  <c r="E2" i="19"/>
  <c r="F2" i="20"/>
  <c r="E2" i="20"/>
  <c r="F2" i="22"/>
  <c r="E2" i="22"/>
  <c r="F2" i="21"/>
  <c r="E2" i="21"/>
  <c r="F2" i="14"/>
  <c r="E2" i="14"/>
  <c r="F2" i="16"/>
  <c r="E2" i="16"/>
  <c r="F2" i="12"/>
  <c r="E2" i="12"/>
  <c r="F2" i="18"/>
  <c r="E2" i="18"/>
  <c r="F2" i="15"/>
  <c r="E2" i="15"/>
  <c r="F2" i="13"/>
  <c r="E2" i="13"/>
  <c r="F2" i="6"/>
  <c r="E2" i="6"/>
  <c r="F2" i="11"/>
  <c r="E2" i="11"/>
  <c r="F2" i="10"/>
  <c r="E2" i="10"/>
  <c r="F2" i="9"/>
  <c r="E2" i="9"/>
  <c r="F2" i="8"/>
  <c r="E2" i="8"/>
  <c r="F2" i="26"/>
  <c r="E2" i="26"/>
  <c r="T5" i="3"/>
  <c r="B23" i="3"/>
  <c r="E7" i="3"/>
  <c r="G6" i="3"/>
  <c r="D5" i="2"/>
  <c r="D1048576" i="2"/>
</calcChain>
</file>

<file path=xl/sharedStrings.xml><?xml version="1.0" encoding="utf-8"?>
<sst xmlns="http://schemas.openxmlformats.org/spreadsheetml/2006/main" count="433" uniqueCount="203">
  <si>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</si>
  <si>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</si>
  <si>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</si>
  <si>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</si>
  <si>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</si>
  <si>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</si>
  <si>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</si>
  <si>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</si>
  <si>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</si>
  <si>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</si>
  <si>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</si>
  <si>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</si>
  <si>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</si>
  <si>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</si>
  <si>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</si>
  <si>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</si>
  <si>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</si>
  <si>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</si>
  <si>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</si>
  <si>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</si>
  <si>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</si>
  <si>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</si>
  <si>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</si>
  <si>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</si>
  <si>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</si>
  <si>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</si>
  <si>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</si>
  <si>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</si>
  <si>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</si>
  <si>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</si>
  <si>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</si>
  <si>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</si>
  <si>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</si>
  <si>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</si>
  <si>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</si>
  <si>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</si>
  <si>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</si>
  <si>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</si>
  <si>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</si>
  <si>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</si>
  <si>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</si>
  <si>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</si>
  <si>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</si>
  <si>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</si>
  <si>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</si>
  <si>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</si>
  <si>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</si>
  <si>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</si>
  <si>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</si>
  <si>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</si>
  <si>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</si>
  <si>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</si>
  <si>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</si>
  <si>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</si>
  <si>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</si>
  <si>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RANJAN</t>
  </si>
  <si>
    <t>BUILD / 1ST FLR / HALL 2</t>
  </si>
  <si>
    <t>GRP 4</t>
  </si>
  <si>
    <t>MUJIB</t>
  </si>
  <si>
    <t>MOIN 2</t>
  </si>
  <si>
    <t>BUILD / 1ST FLR</t>
  </si>
  <si>
    <t>PERVAZ</t>
  </si>
  <si>
    <t>SHED 4 / HALL 1</t>
  </si>
  <si>
    <t>GRP 5</t>
  </si>
  <si>
    <t>AZHAR</t>
  </si>
  <si>
    <t>GRP 1 Total</t>
  </si>
  <si>
    <t>GRP 2 Total</t>
  </si>
  <si>
    <t>GRP 3 Total</t>
  </si>
  <si>
    <t>GRP 4 Total</t>
  </si>
  <si>
    <t>GRP 5 Total</t>
  </si>
  <si>
    <t>Grand Total</t>
  </si>
  <si>
    <t>KAMAL</t>
  </si>
  <si>
    <t>RAFAT</t>
  </si>
  <si>
    <t>BARI</t>
  </si>
  <si>
    <t>GR FLR</t>
  </si>
  <si>
    <t>NAME</t>
  </si>
  <si>
    <t>DATE</t>
  </si>
  <si>
    <t>AMOUNT</t>
  </si>
  <si>
    <t>GROUP</t>
  </si>
  <si>
    <t>TIME</t>
  </si>
  <si>
    <t>DUE</t>
  </si>
  <si>
    <t>NIL</t>
  </si>
  <si>
    <t>PERWAZ</t>
  </si>
  <si>
    <t>SALARIES</t>
  </si>
  <si>
    <t>LABOUR</t>
  </si>
  <si>
    <t>DIGRUM / URP</t>
  </si>
  <si>
    <t xml:space="preserve">CESC / URP </t>
  </si>
  <si>
    <t>CESC / RESD</t>
  </si>
  <si>
    <t>ANIMAL FEED</t>
  </si>
  <si>
    <t>NAIM</t>
  </si>
  <si>
    <t>NIZAM</t>
  </si>
  <si>
    <t>ENAYATULLA</t>
  </si>
  <si>
    <t>SHAFIQUE</t>
  </si>
  <si>
    <t>NAZIR</t>
  </si>
  <si>
    <t>ZYED</t>
  </si>
  <si>
    <t>ISHRAQUE</t>
  </si>
  <si>
    <t>MERAB</t>
  </si>
  <si>
    <t xml:space="preserve"> MASJID</t>
  </si>
  <si>
    <t xml:space="preserve"> GATE</t>
  </si>
  <si>
    <t xml:space="preserve"> BARI</t>
  </si>
  <si>
    <t>RASHEED</t>
  </si>
  <si>
    <t>MUNNA</t>
  </si>
  <si>
    <t>RAFIQUE</t>
  </si>
  <si>
    <t xml:space="preserve">SURAJ </t>
  </si>
  <si>
    <t>SECURITY</t>
  </si>
  <si>
    <t>SAM</t>
  </si>
  <si>
    <t>ZOE/ZARA</t>
  </si>
  <si>
    <t>RESD</t>
  </si>
  <si>
    <t>EC</t>
  </si>
  <si>
    <t>M/P</t>
  </si>
  <si>
    <t>SK BHALLU</t>
  </si>
  <si>
    <t>SULTAN</t>
  </si>
  <si>
    <t>NAUSHAD ALAM</t>
  </si>
  <si>
    <t>JAVED</t>
  </si>
  <si>
    <t>SHAMIMA</t>
  </si>
  <si>
    <t>KANIZ</t>
  </si>
  <si>
    <t>SULTANA</t>
  </si>
  <si>
    <t>MASJID</t>
  </si>
  <si>
    <t>FUEL / GAS</t>
  </si>
  <si>
    <t>ZOE</t>
  </si>
  <si>
    <t>ZARA</t>
  </si>
  <si>
    <t>NARAYAN</t>
  </si>
  <si>
    <t>BAWA</t>
  </si>
  <si>
    <t>OVERALL TOTAL</t>
  </si>
  <si>
    <t>ITEM</t>
  </si>
  <si>
    <t>RATE</t>
  </si>
  <si>
    <t>QTN</t>
  </si>
  <si>
    <t>ATTA</t>
  </si>
  <si>
    <t>TRSP</t>
  </si>
  <si>
    <t>SHAHNAWAZ</t>
  </si>
  <si>
    <t>SAM 2</t>
  </si>
  <si>
    <t>15000 WEEKLY</t>
  </si>
  <si>
    <t>PETROL / KAMAL</t>
  </si>
  <si>
    <t>PETROL / NIZAM</t>
  </si>
  <si>
    <t>2500/WEEKLY</t>
  </si>
  <si>
    <t>RELIGION</t>
  </si>
  <si>
    <t>ZD</t>
  </si>
  <si>
    <t>SD</t>
  </si>
  <si>
    <t>KD</t>
  </si>
  <si>
    <t>AT</t>
  </si>
  <si>
    <t>OTHERS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</si>
  <si>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</si>
  <si>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</si>
  <si>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</si>
  <si>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</si>
  <si>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</si>
  <si>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</si>
  <si>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</si>
  <si>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</si>
  <si>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</si>
  <si>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</si>
  <si>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</si>
  <si>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</si>
  <si>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</si>
  <si>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</si>
  <si>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</si>
  <si>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</si>
  <si>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</si>
  <si>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CHICHEN BONELESS</t>
  </si>
  <si>
    <t>CHICHEN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</si>
  <si>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</si>
  <si>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</si>
  <si>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</si>
  <si>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</si>
  <si>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</si>
  <si>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</si>
  <si>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</si>
  <si>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</si>
  <si>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</si>
  <si>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</si>
  <si>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</si>
  <si>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</si>
  <si>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</si>
  <si>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</si>
  <si>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</si>
  <si>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</si>
  <si>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</si>
  <si>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</si>
  <si>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</si>
  <si>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</si>
  <si>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</si>
  <si>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</si>
  <si>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</si>
  <si>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</si>
  <si>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</si>
  <si>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</si>
  <si>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</si>
  <si>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</si>
  <si>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</si>
  <si>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</si>
  <si>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</si>
  <si>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MEDICAL</t>
  </si>
  <si>
    <t>SAM/TEST</t>
  </si>
  <si>
    <t>SAM / DR</t>
  </si>
  <si>
    <t>SAM /  MED</t>
  </si>
  <si>
    <t>REPAIR</t>
  </si>
  <si>
    <t>SHED / MISTRI</t>
  </si>
  <si>
    <t xml:space="preserve">TIN </t>
  </si>
  <si>
    <t>FOR THE MONTH</t>
  </si>
  <si>
    <t>12PM</t>
  </si>
  <si>
    <t>JULY</t>
  </si>
  <si>
    <t>ANAS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</si>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</sst>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18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4" fillId="0" borderId="0" xfId="0" applyFont="1"/>
    <xf numFmtId="0" fontId="0" fillId="1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G40"/>
  <sheetViews>
    <sheetView tabSelected="1" showOutlineSymbols="0" zoomScaleNormal="100" workbookViewId="0">
      <selection activeCell="A37" sqref="A37"/>
    </sheetView>
  </sheetViews>
  <sheetFormatPr defaultColWidth="8.85546875" defaultRowHeight="15" outlineLevelRow="2" x14ac:dyDescent="0.25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</cols>
  <sheetData>
    <row r="1" spans="1:7" s="3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outlineLevel="2" x14ac:dyDescent="0.25">
      <c r="A2" t="s">
        <v>7</v>
      </c>
      <c r="B2" t="s">
        <v>8</v>
      </c>
      <c r="C2">
        <v>35000</v>
      </c>
      <c r="D2" t="s">
        <v>9</v>
      </c>
      <c r="E2" t="s">
        <v>10</v>
      </c>
    </row>
    <row r="3" spans="1:7" outlineLevel="2" x14ac:dyDescent="0.25">
      <c r="A3" t="s">
        <v>11</v>
      </c>
      <c r="B3" t="s">
        <v>12</v>
      </c>
      <c r="C3">
        <v>11000</v>
      </c>
      <c r="D3" t="s">
        <v>13</v>
      </c>
      <c r="E3" t="s">
        <v>10</v>
      </c>
    </row>
    <row r="4" spans="1:7" outlineLevel="2" x14ac:dyDescent="0.25">
      <c r="A4" t="s">
        <v>14</v>
      </c>
      <c r="B4" t="s">
        <v>12</v>
      </c>
      <c r="C4">
        <v>26000</v>
      </c>
      <c r="D4" t="s">
        <v>15</v>
      </c>
      <c r="E4" t="s">
        <v>10</v>
      </c>
    </row>
    <row r="5" spans="1:7" outlineLevel="2" x14ac:dyDescent="0.25">
      <c r="A5" t="s">
        <v>16</v>
      </c>
      <c r="B5" t="s">
        <v>12</v>
      </c>
      <c r="C5">
        <v>35000</v>
      </c>
      <c r="D5" t="s">
        <v>17</v>
      </c>
      <c r="E5" t="s">
        <v>10</v>
      </c>
    </row>
    <row r="6" spans="1:7" outlineLevel="2" x14ac:dyDescent="0.25">
      <c r="A6" t="s">
        <v>18</v>
      </c>
      <c r="B6" t="s">
        <v>12</v>
      </c>
      <c r="C6">
        <v>20000</v>
      </c>
      <c r="D6" t="s">
        <v>19</v>
      </c>
      <c r="E6" t="s">
        <v>10</v>
      </c>
    </row>
    <row r="7" spans="1:7" outlineLevel="2" x14ac:dyDescent="0.25">
      <c r="A7" t="s">
        <v>20</v>
      </c>
      <c r="B7" t="s">
        <v>8</v>
      </c>
      <c r="C7">
        <v>24500</v>
      </c>
      <c r="D7" t="s">
        <v>21</v>
      </c>
      <c r="E7" t="s">
        <v>10</v>
      </c>
    </row>
    <row r="8" spans="1:7" outlineLevel="2" x14ac:dyDescent="0.25">
      <c r="A8" t="s">
        <v>22</v>
      </c>
      <c r="B8">
        <v>56</v>
      </c>
      <c r="C8">
        <v>50000</v>
      </c>
      <c r="D8" t="s">
        <v>23</v>
      </c>
      <c r="E8" t="s">
        <v>10</v>
      </c>
    </row>
    <row r="9" spans="1:7" outlineLevel="2" x14ac:dyDescent="0.25">
      <c r="A9" t="s">
        <v>24</v>
      </c>
      <c r="B9" t="s">
        <v>8</v>
      </c>
      <c r="C9">
        <v>12100</v>
      </c>
      <c r="D9" t="s">
        <v>15</v>
      </c>
      <c r="E9" t="s">
        <v>10</v>
      </c>
    </row>
    <row r="10" spans="1:7" outlineLevel="2" x14ac:dyDescent="0.25">
      <c r="A10" t="s">
        <v>71</v>
      </c>
      <c r="B10" t="s">
        <v>8</v>
      </c>
      <c r="C10">
        <v>20000</v>
      </c>
      <c r="D10" t="s">
        <v>25</v>
      </c>
      <c r="E10" t="s">
        <v>10</v>
      </c>
    </row>
    <row r="11" spans="1:7" outlineLevel="2" x14ac:dyDescent="0.25">
      <c r="A11" t="s">
        <v>26</v>
      </c>
      <c r="B11" t="s">
        <v>8</v>
      </c>
      <c r="C11">
        <v>13000</v>
      </c>
      <c r="D11" t="s">
        <v>27</v>
      </c>
      <c r="E11" t="s">
        <v>10</v>
      </c>
    </row>
    <row r="12" spans="1:7" outlineLevel="1" x14ac:dyDescent="0.25">
      <c r="A12" s="1"/>
      <c r="B12" s="1"/>
      <c r="C12" s="1">
        <f>SUBTOTAL(9,C2:C11)</f>
        <v>246600</v>
      </c>
      <c r="D12" s="1"/>
      <c r="E12" s="1" t="s">
        <v>65</v>
      </c>
      <c r="F12" s="1"/>
      <c r="G12" s="1"/>
    </row>
    <row r="13" spans="1:7" outlineLevel="2" x14ac:dyDescent="0.25">
      <c r="A13" t="s">
        <v>28</v>
      </c>
      <c r="B13" t="s">
        <v>8</v>
      </c>
      <c r="C13">
        <v>70000</v>
      </c>
      <c r="D13" t="s">
        <v>29</v>
      </c>
      <c r="E13" t="s">
        <v>30</v>
      </c>
    </row>
    <row r="14" spans="1:7" outlineLevel="2" x14ac:dyDescent="0.25">
      <c r="A14" t="s">
        <v>31</v>
      </c>
      <c r="B14" t="s">
        <v>12</v>
      </c>
      <c r="C14">
        <v>45000</v>
      </c>
      <c r="D14" t="s">
        <v>32</v>
      </c>
      <c r="E14" t="s">
        <v>30</v>
      </c>
    </row>
    <row r="15" spans="1:7" outlineLevel="2" x14ac:dyDescent="0.25">
      <c r="A15" t="s">
        <v>33</v>
      </c>
      <c r="B15" t="s">
        <v>8</v>
      </c>
      <c r="C15">
        <v>75000</v>
      </c>
      <c r="D15" t="s">
        <v>34</v>
      </c>
      <c r="E15" t="s">
        <v>30</v>
      </c>
    </row>
    <row r="16" spans="1:7" outlineLevel="2" x14ac:dyDescent="0.25">
      <c r="A16" t="s">
        <v>35</v>
      </c>
      <c r="B16" t="s">
        <v>8</v>
      </c>
      <c r="C16">
        <v>27500</v>
      </c>
      <c r="D16" t="s">
        <v>36</v>
      </c>
      <c r="E16" t="s">
        <v>30</v>
      </c>
    </row>
    <row r="17" spans="1:7" outlineLevel="2" x14ac:dyDescent="0.25">
      <c r="A17" t="s">
        <v>37</v>
      </c>
      <c r="B17" t="s">
        <v>8</v>
      </c>
      <c r="C17">
        <v>35000</v>
      </c>
      <c r="D17" t="s">
        <v>38</v>
      </c>
      <c r="E17" t="s">
        <v>30</v>
      </c>
    </row>
    <row r="18" spans="1:7" outlineLevel="2" x14ac:dyDescent="0.25">
      <c r="A18" t="s">
        <v>39</v>
      </c>
      <c r="B18" t="s">
        <v>12</v>
      </c>
      <c r="C18">
        <v>30000</v>
      </c>
      <c r="D18" t="s">
        <v>40</v>
      </c>
      <c r="E18" t="s">
        <v>30</v>
      </c>
    </row>
    <row r="19" spans="1:7" outlineLevel="2" x14ac:dyDescent="0.25">
      <c r="A19" t="s">
        <v>41</v>
      </c>
      <c r="B19" t="s">
        <v>12</v>
      </c>
      <c r="C19">
        <v>20000</v>
      </c>
      <c r="D19" t="s">
        <v>42</v>
      </c>
      <c r="E19" t="s">
        <v>30</v>
      </c>
      <c r="F19" t="s">
        <v>202</v>
      </c>
    </row>
    <row r="20" spans="1:7" outlineLevel="2" x14ac:dyDescent="0.25">
      <c r="A20" t="s">
        <v>43</v>
      </c>
      <c r="B20" t="s">
        <v>8</v>
      </c>
      <c r="C20">
        <v>19000</v>
      </c>
      <c r="D20" t="s">
        <v>44</v>
      </c>
      <c r="E20" t="s">
        <v>30</v>
      </c>
    </row>
    <row r="21" spans="1:7" outlineLevel="2" x14ac:dyDescent="0.25">
      <c r="A21" t="s">
        <v>45</v>
      </c>
      <c r="B21" t="s">
        <v>8</v>
      </c>
      <c r="C21">
        <v>38000</v>
      </c>
      <c r="D21" t="s">
        <v>46</v>
      </c>
      <c r="E21" t="s">
        <v>30</v>
      </c>
    </row>
    <row r="22" spans="1:7" outlineLevel="2" x14ac:dyDescent="0.25">
      <c r="A22" t="s">
        <v>47</v>
      </c>
      <c r="B22" t="s">
        <v>8</v>
      </c>
      <c r="C22">
        <v>16000</v>
      </c>
      <c r="D22" t="s">
        <v>48</v>
      </c>
      <c r="E22" t="s">
        <v>30</v>
      </c>
    </row>
    <row r="23" spans="1:7" outlineLevel="2" x14ac:dyDescent="0.25">
      <c r="A23" t="s">
        <v>49</v>
      </c>
      <c r="B23" t="s">
        <v>12</v>
      </c>
      <c r="C23">
        <v>45000</v>
      </c>
      <c r="D23" t="s">
        <v>50</v>
      </c>
      <c r="E23" t="s">
        <v>30</v>
      </c>
    </row>
    <row r="24" spans="1:7" outlineLevel="1" x14ac:dyDescent="0.25">
      <c r="A24" s="1"/>
      <c r="B24" s="1"/>
      <c r="C24" s="1">
        <f>SUBTOTAL(9,C13:C23)</f>
        <v>420500</v>
      </c>
      <c r="D24" s="1"/>
      <c r="E24" s="1" t="s">
        <v>66</v>
      </c>
      <c r="F24" s="1"/>
      <c r="G24" s="1"/>
    </row>
    <row r="25" spans="1:7" outlineLevel="2" x14ac:dyDescent="0.25">
      <c r="A25" t="s">
        <v>51</v>
      </c>
      <c r="B25" t="s">
        <v>12</v>
      </c>
      <c r="C25">
        <v>14000</v>
      </c>
      <c r="D25" t="s">
        <v>52</v>
      </c>
      <c r="E25" t="s">
        <v>53</v>
      </c>
    </row>
    <row r="26" spans="1:7" outlineLevel="2" x14ac:dyDescent="0.25">
      <c r="A26" t="s">
        <v>54</v>
      </c>
      <c r="B26" t="s">
        <v>8</v>
      </c>
      <c r="C26">
        <v>25000</v>
      </c>
      <c r="D26" t="s">
        <v>17</v>
      </c>
      <c r="E26" t="s">
        <v>53</v>
      </c>
    </row>
    <row r="27" spans="1:7" outlineLevel="2" x14ac:dyDescent="0.25">
      <c r="A27" t="s">
        <v>72</v>
      </c>
      <c r="B27" t="s">
        <v>73</v>
      </c>
      <c r="C27">
        <v>15000</v>
      </c>
      <c r="D27" t="s">
        <v>74</v>
      </c>
      <c r="E27" t="s">
        <v>53</v>
      </c>
    </row>
    <row r="28" spans="1:7" outlineLevel="2" x14ac:dyDescent="0.25">
      <c r="A28" t="s">
        <v>59</v>
      </c>
      <c r="B28" t="s">
        <v>12</v>
      </c>
      <c r="C28">
        <v>13000</v>
      </c>
      <c r="D28" t="s">
        <v>60</v>
      </c>
      <c r="E28" t="s">
        <v>53</v>
      </c>
    </row>
    <row r="29" spans="1:7" outlineLevel="1" x14ac:dyDescent="0.25">
      <c r="A29" s="1"/>
      <c r="B29" s="1"/>
      <c r="C29" s="1">
        <f>SUBTOTAL(9,C25:C28)</f>
        <v>67000</v>
      </c>
      <c r="D29" s="1"/>
      <c r="E29" s="1" t="s">
        <v>67</v>
      </c>
      <c r="F29" s="1"/>
      <c r="G29" s="1"/>
    </row>
    <row r="30" spans="1:7" outlineLevel="2" x14ac:dyDescent="0.25">
      <c r="A30" t="s">
        <v>55</v>
      </c>
      <c r="B30" t="s">
        <v>8</v>
      </c>
      <c r="C30">
        <v>27500</v>
      </c>
      <c r="D30" t="s">
        <v>56</v>
      </c>
      <c r="E30" t="s">
        <v>57</v>
      </c>
    </row>
    <row r="31" spans="1:7" outlineLevel="2" x14ac:dyDescent="0.25">
      <c r="A31" t="s">
        <v>58</v>
      </c>
      <c r="B31" t="s">
        <v>12</v>
      </c>
      <c r="C31">
        <v>25000</v>
      </c>
      <c r="D31" t="s">
        <v>44</v>
      </c>
      <c r="E31" t="s">
        <v>57</v>
      </c>
    </row>
    <row r="32" spans="1:7" outlineLevel="1" x14ac:dyDescent="0.25">
      <c r="A32" s="1"/>
      <c r="B32" s="1"/>
      <c r="C32" s="1">
        <f>SUBTOTAL(9,C30:C31)</f>
        <v>52500</v>
      </c>
      <c r="D32" s="1"/>
      <c r="E32" s="1" t="s">
        <v>68</v>
      </c>
      <c r="F32" s="1"/>
      <c r="G32" s="1"/>
    </row>
    <row r="33" spans="1:7" outlineLevel="2" x14ac:dyDescent="0.25">
      <c r="A33" t="s">
        <v>61</v>
      </c>
      <c r="B33" t="s">
        <v>12</v>
      </c>
      <c r="C33">
        <v>45000</v>
      </c>
      <c r="D33" t="s">
        <v>62</v>
      </c>
      <c r="E33" t="s">
        <v>63</v>
      </c>
    </row>
    <row r="34" spans="1:7" outlineLevel="2" x14ac:dyDescent="0.25">
      <c r="A34" t="s">
        <v>64</v>
      </c>
      <c r="B34" t="s">
        <v>12</v>
      </c>
      <c r="C34">
        <v>11500</v>
      </c>
      <c r="D34" t="s">
        <v>25</v>
      </c>
      <c r="E34" t="s">
        <v>63</v>
      </c>
    </row>
    <row r="35" spans="1:7" outlineLevel="1" x14ac:dyDescent="0.25">
      <c r="A35" s="1"/>
      <c r="B35" s="1"/>
      <c r="C35" s="1">
        <f>SUBTOTAL(9,C33:C34)</f>
        <v>56500</v>
      </c>
      <c r="D35" s="1"/>
      <c r="E35" s="1" t="s">
        <v>69</v>
      </c>
      <c r="F35" s="1"/>
      <c r="G35" s="1"/>
    </row>
    <row r="36" spans="1:7" x14ac:dyDescent="0.25">
      <c r="A36" s="1"/>
      <c r="B36" s="1"/>
      <c r="C36" s="1">
        <f>SUBTOTAL(9,C2:C34)</f>
        <v>843100</v>
      </c>
      <c r="D36" s="1"/>
      <c r="E36" s="1" t="s">
        <v>70</v>
      </c>
      <c r="F36" s="1"/>
      <c r="G36" s="1"/>
    </row>
    <row r="37" spans="1:7" outlineLevel="1" x14ac:dyDescent="0.25"/>
    <row r="38" spans="1:7" outlineLevel="1" x14ac:dyDescent="0.25"/>
    <row r="39" spans="1:7" outlineLevel="1" x14ac:dyDescent="0.25"/>
    <row r="40" spans="1:7" outlineLevel="1" x14ac:dyDescent="0.25"/>
  </sheetData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EFB1D-CF4B-4A40-85CB-C8C0E65CFBC5}">
  <sheetPr codeName="Sheet2"/>
  <dimension ref="A1:F1048576"/>
  <sheetViews>
    <sheetView zoomScale="237" workbookViewId="0">
      <selection sqref="A1:XFD1"/>
    </sheetView>
  </sheetViews>
  <sheetFormatPr defaultColWidth="11.42578125" defaultRowHeight="15" x14ac:dyDescent="0.25"/>
  <sheetData>
    <row r="1" spans="1:6" s="3" customFormat="1" x14ac:dyDescent="0.25">
      <c r="A1" s="3" t="s">
        <v>76</v>
      </c>
      <c r="B1" s="3" t="s">
        <v>79</v>
      </c>
      <c r="C1" s="3" t="s">
        <v>75</v>
      </c>
      <c r="D1" s="3" t="s">
        <v>77</v>
      </c>
      <c r="E1" s="3" t="s">
        <v>78</v>
      </c>
      <c r="F1" s="3" t="s">
        <v>80</v>
      </c>
    </row>
    <row r="2" spans="1:6" x14ac:dyDescent="0.25">
      <c r="A2" s="4">
        <v>46232</v>
      </c>
      <c r="B2" s="5">
        <v>0.625</v>
      </c>
      <c r="C2" t="s">
        <v>37</v>
      </c>
      <c r="D2">
        <v>27500</v>
      </c>
      <c r="E2" t="s">
        <v>57</v>
      </c>
      <c r="F2" t="s">
        <v>81</v>
      </c>
    </row>
    <row r="3" spans="1:6" x14ac:dyDescent="0.25">
      <c r="A3" s="4">
        <v>46233</v>
      </c>
      <c r="B3" s="5">
        <v>0.79166666666666663</v>
      </c>
      <c r="C3" t="s">
        <v>82</v>
      </c>
      <c r="D3">
        <v>30000</v>
      </c>
      <c r="E3" t="s">
        <v>57</v>
      </c>
      <c r="F3" t="s">
        <v>81</v>
      </c>
    </row>
    <row r="4" spans="1:6" x14ac:dyDescent="0.25">
      <c r="C4" t="s">
        <v>64</v>
      </c>
      <c r="E4" t="s">
        <v>57</v>
      </c>
      <c r="F4">
        <v>11500</v>
      </c>
    </row>
    <row r="5" spans="1:6" x14ac:dyDescent="0.25">
      <c r="D5">
        <f>SUM(D2:D4)</f>
        <v>57500</v>
      </c>
    </row>
    <row r="1048576" spans="4:4" x14ac:dyDescent="0.25">
      <c r="D1048576">
        <f>SUM(D2:D1048575)</f>
        <v>115000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DCB81-B095-1042-A112-7DF440F6E838}">
  <sheetPr codeName="Sheet3"/>
  <dimension ref="A1:U23"/>
  <sheetViews>
    <sheetView zoomScale="85" zoomScaleNormal="85" workbookViewId="0">
      <selection activeCell="R4" sqref="R4"/>
    </sheetView>
  </sheetViews>
  <sheetFormatPr defaultColWidth="11.42578125" defaultRowHeight="15" x14ac:dyDescent="0.25"/>
  <cols>
    <col min="3" max="3" width="10.85546875" style="9"/>
    <col min="4" max="5" width="9.85546875" customWidth="1"/>
    <col min="6" max="6" width="10.85546875" customWidth="1"/>
    <col min="7" max="9" width="12.28515625" customWidth="1"/>
    <col min="10" max="11" width="13.7109375" customWidth="1"/>
    <col min="18" max="18" width="11.28515625" customWidth="1"/>
  </cols>
  <sheetData>
    <row r="1" spans="1:21" s="3" customFormat="1" x14ac:dyDescent="0.25">
      <c r="A1" s="3" t="s">
        <v>75</v>
      </c>
      <c r="B1" s="3" t="s">
        <v>83</v>
      </c>
      <c r="C1" s="9"/>
      <c r="D1" s="3" t="s">
        <v>86</v>
      </c>
      <c r="E1" s="3" t="s">
        <v>77</v>
      </c>
      <c r="F1" s="3" t="s">
        <v>87</v>
      </c>
      <c r="G1" s="3" t="s">
        <v>77</v>
      </c>
      <c r="H1" s="3" t="s">
        <v>84</v>
      </c>
      <c r="I1" s="3" t="s">
        <v>77</v>
      </c>
      <c r="J1" s="3" t="s">
        <v>85</v>
      </c>
      <c r="K1" s="3" t="s">
        <v>77</v>
      </c>
      <c r="L1" s="3" t="s">
        <v>88</v>
      </c>
      <c r="M1" s="3" t="s">
        <v>77</v>
      </c>
      <c r="N1" s="3" t="s">
        <v>118</v>
      </c>
      <c r="O1" s="3" t="s">
        <v>77</v>
      </c>
      <c r="P1" s="3" t="s">
        <v>191</v>
      </c>
      <c r="Q1" s="3" t="s">
        <v>77</v>
      </c>
      <c r="R1" s="3" t="s">
        <v>195</v>
      </c>
      <c r="S1" s="3" t="s">
        <v>77</v>
      </c>
      <c r="T1" s="3" t="s">
        <v>123</v>
      </c>
      <c r="U1" s="3" t="s">
        <v>135</v>
      </c>
    </row>
    <row r="2" spans="1:21" x14ac:dyDescent="0.25">
      <c r="A2" s="7" t="s">
        <v>89</v>
      </c>
      <c r="B2" s="7">
        <v>9500</v>
      </c>
      <c r="D2" t="s">
        <v>109</v>
      </c>
      <c r="E2">
        <v>62140</v>
      </c>
      <c r="F2" t="s">
        <v>114</v>
      </c>
      <c r="G2">
        <v>8000</v>
      </c>
      <c r="K2" t="s">
        <v>131</v>
      </c>
      <c r="N2" t="s">
        <v>114</v>
      </c>
      <c r="P2" t="s">
        <v>193</v>
      </c>
      <c r="Q2">
        <v>3000</v>
      </c>
      <c r="R2" t="s">
        <v>196</v>
      </c>
      <c r="S2">
        <v>3500</v>
      </c>
      <c r="T2" s="13">
        <v>344883</v>
      </c>
      <c r="U2" t="s">
        <v>136</v>
      </c>
    </row>
    <row r="3" spans="1:21" x14ac:dyDescent="0.25">
      <c r="A3" s="7" t="s">
        <v>90</v>
      </c>
      <c r="B3" s="7">
        <v>10500</v>
      </c>
      <c r="C3" s="9" t="s">
        <v>98</v>
      </c>
      <c r="D3" t="s">
        <v>112</v>
      </c>
      <c r="E3">
        <v>75280</v>
      </c>
      <c r="F3" t="s">
        <v>115</v>
      </c>
      <c r="G3">
        <v>14000</v>
      </c>
      <c r="N3" t="s">
        <v>119</v>
      </c>
      <c r="P3" t="s">
        <v>192</v>
      </c>
      <c r="Q3">
        <v>9000</v>
      </c>
      <c r="R3" t="s">
        <v>197</v>
      </c>
      <c r="S3">
        <v>4000</v>
      </c>
      <c r="T3" s="12">
        <v>164240</v>
      </c>
      <c r="U3" t="s">
        <v>137</v>
      </c>
    </row>
    <row r="4" spans="1:21" x14ac:dyDescent="0.25">
      <c r="A4" s="7" t="s">
        <v>92</v>
      </c>
      <c r="B4" s="7">
        <v>10500</v>
      </c>
      <c r="D4" t="s">
        <v>110</v>
      </c>
      <c r="E4">
        <v>20150</v>
      </c>
      <c r="F4" t="s">
        <v>116</v>
      </c>
      <c r="G4">
        <v>22000</v>
      </c>
      <c r="N4" t="s">
        <v>120</v>
      </c>
      <c r="P4" t="s">
        <v>194</v>
      </c>
      <c r="T4">
        <v>52000</v>
      </c>
      <c r="U4" t="s">
        <v>138</v>
      </c>
    </row>
    <row r="5" spans="1:21" x14ac:dyDescent="0.25">
      <c r="A5" s="7" t="s">
        <v>71</v>
      </c>
      <c r="B5" s="7">
        <v>12500</v>
      </c>
      <c r="D5" t="s">
        <v>111</v>
      </c>
      <c r="E5">
        <v>6560</v>
      </c>
      <c r="F5" t="s">
        <v>117</v>
      </c>
      <c r="G5">
        <v>8000</v>
      </c>
      <c r="N5" t="s">
        <v>111</v>
      </c>
      <c r="T5">
        <f>SUM(T2:T4)</f>
        <v>561123</v>
      </c>
      <c r="U5" t="s">
        <v>139</v>
      </c>
    </row>
    <row r="6" spans="1:21" x14ac:dyDescent="0.25">
      <c r="A6" s="12" t="s">
        <v>93</v>
      </c>
      <c r="B6" s="12">
        <v>8500</v>
      </c>
      <c r="C6" s="9" t="s">
        <v>99</v>
      </c>
      <c r="D6" t="s">
        <v>113</v>
      </c>
      <c r="E6">
        <v>110</v>
      </c>
      <c r="G6" s="12">
        <f>SUM(G2:G5)</f>
        <v>52000</v>
      </c>
      <c r="H6" s="12"/>
      <c r="I6" s="12"/>
      <c r="N6" t="s">
        <v>132</v>
      </c>
      <c r="U6" t="s">
        <v>117</v>
      </c>
    </row>
    <row r="7" spans="1:21" x14ac:dyDescent="0.25">
      <c r="A7" s="12" t="s">
        <v>94</v>
      </c>
      <c r="B7" s="12">
        <v>3000</v>
      </c>
      <c r="E7" s="12">
        <f>SUM(E2:E6)</f>
        <v>164240</v>
      </c>
      <c r="N7" t="s">
        <v>133</v>
      </c>
      <c r="U7" t="s">
        <v>140</v>
      </c>
    </row>
    <row r="8" spans="1:21" x14ac:dyDescent="0.25">
      <c r="A8" s="6" t="s">
        <v>95</v>
      </c>
      <c r="B8" s="6">
        <v>14000</v>
      </c>
    </row>
    <row r="9" spans="1:21" x14ac:dyDescent="0.25">
      <c r="A9" s="6" t="s">
        <v>96</v>
      </c>
      <c r="B9" s="6">
        <v>13000</v>
      </c>
      <c r="C9" s="9" t="s">
        <v>97</v>
      </c>
    </row>
    <row r="10" spans="1:21" x14ac:dyDescent="0.25">
      <c r="A10" s="6" t="s">
        <v>91</v>
      </c>
      <c r="B10" s="6">
        <v>10500</v>
      </c>
    </row>
    <row r="11" spans="1:21" x14ac:dyDescent="0.25">
      <c r="A11" s="11" t="s">
        <v>100</v>
      </c>
      <c r="B11" s="11">
        <v>10500</v>
      </c>
      <c r="C11" s="9" t="s">
        <v>8</v>
      </c>
    </row>
    <row r="12" spans="1:21" x14ac:dyDescent="0.25">
      <c r="A12" s="8" t="s">
        <v>101</v>
      </c>
      <c r="B12" s="8">
        <v>9000</v>
      </c>
    </row>
    <row r="13" spans="1:21" x14ac:dyDescent="0.25">
      <c r="A13" s="8" t="s">
        <v>102</v>
      </c>
      <c r="B13" s="8">
        <v>8750</v>
      </c>
      <c r="C13" s="9">
        <v>56</v>
      </c>
    </row>
    <row r="14" spans="1:21" x14ac:dyDescent="0.25">
      <c r="A14" s="10" t="s">
        <v>103</v>
      </c>
      <c r="B14" s="10">
        <v>5000</v>
      </c>
      <c r="C14" s="9" t="s">
        <v>12</v>
      </c>
    </row>
    <row r="15" spans="1:21" x14ac:dyDescent="0.25">
      <c r="A15" s="10" t="s">
        <v>104</v>
      </c>
      <c r="B15" s="10">
        <v>10000</v>
      </c>
      <c r="C15" s="9" t="s">
        <v>12</v>
      </c>
    </row>
    <row r="16" spans="1:21" x14ac:dyDescent="0.25">
      <c r="A16" t="s">
        <v>105</v>
      </c>
      <c r="B16">
        <v>11000</v>
      </c>
      <c r="C16" s="9" t="s">
        <v>107</v>
      </c>
    </row>
    <row r="17" spans="1:3" x14ac:dyDescent="0.25">
      <c r="A17" t="s">
        <v>130</v>
      </c>
      <c r="B17">
        <v>5000</v>
      </c>
      <c r="C17" s="9" t="s">
        <v>107</v>
      </c>
    </row>
    <row r="18" spans="1:3" x14ac:dyDescent="0.25">
      <c r="A18" t="s">
        <v>106</v>
      </c>
      <c r="B18">
        <v>11000</v>
      </c>
      <c r="C18" s="9" t="s">
        <v>107</v>
      </c>
    </row>
    <row r="19" spans="1:3" x14ac:dyDescent="0.25">
      <c r="A19" t="s">
        <v>108</v>
      </c>
      <c r="B19">
        <v>50000</v>
      </c>
    </row>
    <row r="20" spans="1:3" x14ac:dyDescent="0.25">
      <c r="A20" t="s">
        <v>121</v>
      </c>
      <c r="B20" s="14">
        <v>1600</v>
      </c>
    </row>
    <row r="21" spans="1:3" x14ac:dyDescent="0.25">
      <c r="A21" t="s">
        <v>122</v>
      </c>
      <c r="B21">
        <v>23000</v>
      </c>
    </row>
    <row r="22" spans="1:3" x14ac:dyDescent="0.25">
      <c r="A22" t="s">
        <v>129</v>
      </c>
      <c r="B22">
        <v>108033</v>
      </c>
      <c r="C22" s="9" t="s">
        <v>134</v>
      </c>
    </row>
    <row r="23" spans="1:3" x14ac:dyDescent="0.25">
      <c r="B23">
        <f>SUM(B2:B22)</f>
        <v>344883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2532-6181-1E48-9AF7-B37BB2743A92}">
  <sheetPr codeName="Sheet4"/>
  <dimension ref="A1:G53"/>
  <sheetViews>
    <sheetView zoomScale="167" workbookViewId="0">
      <selection activeCell="B55" sqref="B55"/>
    </sheetView>
  </sheetViews>
  <sheetFormatPr defaultColWidth="11.42578125" defaultRowHeight="15" x14ac:dyDescent="0.25"/>
  <sheetData>
    <row r="1" spans="1:7" x14ac:dyDescent="0.25">
      <c r="A1" t="s">
        <v>76</v>
      </c>
      <c r="C1" s="15" t="s">
        <v>124</v>
      </c>
      <c r="D1" s="15" t="s">
        <v>126</v>
      </c>
      <c r="E1" s="15" t="s">
        <v>125</v>
      </c>
      <c r="F1" s="15" t="s">
        <v>128</v>
      </c>
      <c r="G1" s="15" t="s">
        <v>77</v>
      </c>
    </row>
    <row r="2" spans="1:7" x14ac:dyDescent="0.25">
      <c r="A2" s="4">
        <v>46231</v>
      </c>
      <c r="B2" t="s">
        <v>127</v>
      </c>
    </row>
    <row r="4" spans="1:7" x14ac:dyDescent="0.25">
      <c r="B4" t="s">
        <v>141</v>
      </c>
      <c r="C4" t="s">
        <v>142</v>
      </c>
    </row>
    <row r="5" spans="1:7" x14ac:dyDescent="0.25">
      <c r="C5" t="s">
        <v>143</v>
      </c>
    </row>
    <row r="6" spans="1:7" x14ac:dyDescent="0.25">
      <c r="C6" t="s">
        <v>144</v>
      </c>
    </row>
    <row r="7" spans="1:7" x14ac:dyDescent="0.25">
      <c r="C7" t="s">
        <v>145</v>
      </c>
    </row>
    <row r="9" spans="1:7" x14ac:dyDescent="0.25">
      <c r="B9" t="s">
        <v>146</v>
      </c>
      <c r="C9" t="s">
        <v>147</v>
      </c>
    </row>
    <row r="10" spans="1:7" x14ac:dyDescent="0.25">
      <c r="C10" t="s">
        <v>148</v>
      </c>
    </row>
    <row r="11" spans="1:7" x14ac:dyDescent="0.25">
      <c r="C11" t="s">
        <v>149</v>
      </c>
    </row>
    <row r="12" spans="1:7" x14ac:dyDescent="0.25">
      <c r="C12" t="s">
        <v>150</v>
      </c>
    </row>
    <row r="13" spans="1:7" x14ac:dyDescent="0.25">
      <c r="C13" t="s">
        <v>151</v>
      </c>
    </row>
    <row r="14" spans="1:7" x14ac:dyDescent="0.25">
      <c r="C14" t="s">
        <v>152</v>
      </c>
    </row>
    <row r="15" spans="1:7" x14ac:dyDescent="0.25">
      <c r="C15" t="s">
        <v>153</v>
      </c>
    </row>
    <row r="16" spans="1:7" x14ac:dyDescent="0.25">
      <c r="C16" t="s">
        <v>154</v>
      </c>
    </row>
    <row r="18" spans="2:3" x14ac:dyDescent="0.25">
      <c r="B18" t="s">
        <v>155</v>
      </c>
      <c r="C18" t="s">
        <v>156</v>
      </c>
    </row>
    <row r="19" spans="2:3" x14ac:dyDescent="0.25">
      <c r="C19" t="s">
        <v>157</v>
      </c>
    </row>
    <row r="20" spans="2:3" x14ac:dyDescent="0.25">
      <c r="C20" t="s">
        <v>158</v>
      </c>
    </row>
    <row r="21" spans="2:3" x14ac:dyDescent="0.25">
      <c r="C21" t="s">
        <v>159</v>
      </c>
    </row>
    <row r="22" spans="2:3" x14ac:dyDescent="0.25">
      <c r="C22" t="s">
        <v>160</v>
      </c>
    </row>
    <row r="23" spans="2:3" x14ac:dyDescent="0.25">
      <c r="C23" t="s">
        <v>161</v>
      </c>
    </row>
    <row r="24" spans="2:3" x14ac:dyDescent="0.25">
      <c r="C24" t="s">
        <v>162</v>
      </c>
    </row>
    <row r="26" spans="2:3" x14ac:dyDescent="0.25">
      <c r="B26" t="s">
        <v>163</v>
      </c>
      <c r="C26" t="s">
        <v>127</v>
      </c>
    </row>
    <row r="27" spans="2:3" x14ac:dyDescent="0.25">
      <c r="C27" t="s">
        <v>164</v>
      </c>
    </row>
    <row r="28" spans="2:3" x14ac:dyDescent="0.25">
      <c r="C28" t="s">
        <v>165</v>
      </c>
    </row>
    <row r="29" spans="2:3" x14ac:dyDescent="0.25">
      <c r="C29" t="s">
        <v>166</v>
      </c>
    </row>
    <row r="30" spans="2:3" x14ac:dyDescent="0.25">
      <c r="C30" t="s">
        <v>167</v>
      </c>
    </row>
    <row r="32" spans="2:3" x14ac:dyDescent="0.25">
      <c r="B32" t="s">
        <v>168</v>
      </c>
      <c r="C32" t="s">
        <v>169</v>
      </c>
    </row>
    <row r="33" spans="2:3" x14ac:dyDescent="0.25">
      <c r="C33" t="s">
        <v>170</v>
      </c>
    </row>
    <row r="34" spans="2:3" x14ac:dyDescent="0.25">
      <c r="C34" t="s">
        <v>171</v>
      </c>
    </row>
    <row r="35" spans="2:3" x14ac:dyDescent="0.25">
      <c r="C35" t="s">
        <v>172</v>
      </c>
    </row>
    <row r="36" spans="2:3" x14ac:dyDescent="0.25">
      <c r="C36" t="s">
        <v>173</v>
      </c>
    </row>
    <row r="38" spans="2:3" x14ac:dyDescent="0.25">
      <c r="B38" t="s">
        <v>174</v>
      </c>
      <c r="C38" t="s">
        <v>175</v>
      </c>
    </row>
    <row r="39" spans="2:3" x14ac:dyDescent="0.25">
      <c r="C39" t="s">
        <v>176</v>
      </c>
    </row>
    <row r="40" spans="2:3" x14ac:dyDescent="0.25">
      <c r="C40" t="s">
        <v>177</v>
      </c>
    </row>
    <row r="41" spans="2:3" x14ac:dyDescent="0.25">
      <c r="C41" t="s">
        <v>178</v>
      </c>
    </row>
    <row r="42" spans="2:3" x14ac:dyDescent="0.25">
      <c r="C42" t="s">
        <v>179</v>
      </c>
    </row>
    <row r="43" spans="2:3" x14ac:dyDescent="0.25">
      <c r="C43" t="s">
        <v>180</v>
      </c>
    </row>
    <row r="45" spans="2:3" x14ac:dyDescent="0.25">
      <c r="B45" t="s">
        <v>181</v>
      </c>
      <c r="C45" t="s">
        <v>182</v>
      </c>
    </row>
    <row r="47" spans="2:3" x14ac:dyDescent="0.25">
      <c r="B47" t="s">
        <v>183</v>
      </c>
      <c r="C47" t="s">
        <v>184</v>
      </c>
    </row>
    <row r="48" spans="2:3" x14ac:dyDescent="0.25">
      <c r="C48" t="s">
        <v>185</v>
      </c>
    </row>
    <row r="50" spans="2:3" x14ac:dyDescent="0.25">
      <c r="B50" t="s">
        <v>186</v>
      </c>
      <c r="C50" t="s">
        <v>187</v>
      </c>
    </row>
    <row r="51" spans="2:3" x14ac:dyDescent="0.25">
      <c r="C51" t="s">
        <v>188</v>
      </c>
    </row>
    <row r="52" spans="2:3" x14ac:dyDescent="0.25">
      <c r="C52" t="s">
        <v>189</v>
      </c>
    </row>
    <row r="53" spans="2:3" x14ac:dyDescent="0.25">
      <c r="C53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D04C6-0330-FD47-86F0-B4B5A004C49C}">
  <sheetPr codeName="Sheet5"/>
  <dimension ref="A1:G2"/>
  <sheetViews>
    <sheetView zoomScale="130" zoomScaleNormal="130" workbookViewId="0">
      <selection sqref="A1:G1"/>
    </sheetView>
  </sheetViews>
  <sheetFormatPr defaultColWidth="11.42578125" defaultRowHeight="15" x14ac:dyDescent="0.25"/>
  <cols>
    <col min="1" max="1" width="6.85546875" customWidth="1"/>
    <col min="2" max="2" width="7.7109375" customWidth="1"/>
    <col min="3" max="3" width="13.7109375" customWidth="1"/>
  </cols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58</v>
      </c>
      <c r="E2">
        <f>SUMIF('RENT DATA'!A:A, "MUJIB*", 'RENT DATA'!C:C)</f>
        <v>25000</v>
      </c>
      <c r="F2" t="str">
        <f>VLOOKUP("MUJIB*", 'RENT DATA'!A:E, 5, FALSE)</f>
        <v>GRP 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DA891-2E9D-DF47-A008-34F016FD6563}">
  <sheetPr codeName="Sheet6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61</v>
      </c>
      <c r="E2">
        <f>SUMIF('RENT DATA'!A:A, "PERVAZ*", 'RENT DATA'!C:C)</f>
        <v>45000</v>
      </c>
      <c r="F2" t="str">
        <f>VLOOKUP("PERVAZ*", 'RENT DATA'!A:E, 5, FALSE)</f>
        <v>GRP 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3BD5-2F2F-8F40-9E47-AD7EECB01F1F}">
  <sheetPr codeName="Sheet7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64</v>
      </c>
      <c r="E2">
        <f>SUMIF('RENT DATA'!A:A, "AZHAR*", 'RENT DATA'!C:C)</f>
        <v>11500</v>
      </c>
      <c r="F2" t="str">
        <f>VLOOKUP("AZHAR*", 'RENT DATA'!A:E, 5, FALSE)</f>
        <v>GRP 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12D3E-CA41-224F-93D7-BD66652002AF}">
  <sheetPr codeName="Sheet8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54</v>
      </c>
      <c r="E2">
        <f>SUMIF('RENT DATA'!A:A, "HYDER*", 'RENT DATA'!C:C)</f>
        <v>25000</v>
      </c>
      <c r="F2" t="str">
        <f>VLOOKUP("HYDER*", 'RENT DATA'!A:E, 5, FALSE)</f>
        <v>GRP 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5751A-AA2F-594E-AB46-2AB79B067E7E}">
  <sheetPr codeName="Sheet9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72</v>
      </c>
      <c r="E2">
        <f>SUMIF('RENT DATA'!A:A, "RAFAT*", 'RENT DATA'!C:C)</f>
        <v>15000</v>
      </c>
      <c r="F2" t="str">
        <f>VLOOKUP("RAFAT*", 'RENT DATA'!A:E, 5, FALSE)</f>
        <v>GRP 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9FAC9-6495-4344-8D1E-28B00D141047}">
  <sheetPr codeName="Sheet10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51</v>
      </c>
      <c r="E2">
        <f>SUMIF('RENT DATA'!A:A, "MOIN*", 'RENT DATA'!C:C)</f>
        <v>27000</v>
      </c>
      <c r="F2" t="str">
        <f>VLOOKUP("MOIN*", 'RENT DATA'!A:E, 5, FALSE)</f>
        <v>GRP 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327C-13A7-3248-B949-33E78BB7D4CA}">
  <sheetPr codeName="Sheet11"/>
  <dimension ref="A1:G2"/>
  <sheetViews>
    <sheetView zoomScaleNormal="100" workbookViewId="0">
      <selection activeCell="D18" sqref="D18"/>
    </sheetView>
  </sheetViews>
  <sheetFormatPr defaultColWidth="11.42578125" defaultRowHeight="15" x14ac:dyDescent="0.25"/>
  <cols>
    <col min="3" max="3" width="14" customWidth="1"/>
  </cols>
  <sheetData>
    <row r="1" spans="1:7" s="3" customFormat="1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A2" s="4">
        <v>46235</v>
      </c>
      <c r="B2" t="s">
        <v>199</v>
      </c>
      <c r="C2" t="s">
        <v>200</v>
      </c>
      <c r="D2" t="s">
        <v>201</v>
      </c>
      <c r="E2">
        <f>SUMIF('RENT DATA'!A:A, "ANAS*", 'RENT DATA'!C:C)</f>
        <v>119600</v>
      </c>
      <c r="F2" t="str">
        <f>VLOOKUP("ANAS*", 'RENT DATA'!A:E, 5, FALSE)</f>
        <v>GRP 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86FD8-D451-484C-A2E3-2B56E7C5B2FC}">
  <sheetPr codeName="Sheet13"/>
  <dimension ref="A1:G2"/>
  <sheetViews>
    <sheetView workbookViewId="0">
      <selection activeCell="A19" sqref="A19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14</v>
      </c>
      <c r="E2">
        <f>SUMIF('RENT DATA'!A:A, "AZIM*", 'RENT DATA'!C:C)</f>
        <v>26000</v>
      </c>
      <c r="F2" t="str">
        <f>VLOOKUP("AZIM*", 'RENT DATA'!A:E, 5, FALSE)</f>
        <v>GRP 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CAE9-2739-4040-9D0F-B6A1D5AF8AAE}">
  <sheetPr codeName="Sheet14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18</v>
      </c>
      <c r="E2">
        <f>SUMIF('RENT DATA'!A:A, "SONU*", 'RENT DATA'!C:C)</f>
        <v>20000</v>
      </c>
      <c r="F2" t="str">
        <f>VLOOKUP("SONU*", 'RENT DATA'!A:E, 5, FALSE)</f>
        <v>GRP 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C2F2B-B9BB-0C46-8FD9-30ED989071FE}">
  <sheetPr codeName="Sheet15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22</v>
      </c>
      <c r="E2">
        <f>SUMIF('RENT DATA'!A:A, "DUBEY JI*", 'RENT DATA'!C:C)</f>
        <v>50000</v>
      </c>
      <c r="F2" t="str">
        <f>VLOOKUP("DUBEY JI*", 'RENT DATA'!A:E, 5, FALSE)</f>
        <v>GRP 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5C291-5BEE-2547-80EB-E65B9030993F}">
  <sheetPr codeName="Sheet16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71</v>
      </c>
      <c r="E2">
        <f>SUMIF('RENT DATA'!A:A, "KAMAL*", 'RENT DATA'!C:C)</f>
        <v>20000</v>
      </c>
      <c r="F2" t="str">
        <f>VLOOKUP("KAMAL*", 'RENT DATA'!A:E, 5, FALSE)</f>
        <v>GRP 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6F3D6-F8A0-6E46-805C-679F0647E253}">
  <sheetPr codeName="Sheet17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33</v>
      </c>
      <c r="E2">
        <f>SUMIF('RENT DATA'!A:A, "EJAZ*", 'RENT DATA'!C:C)</f>
        <v>75000</v>
      </c>
      <c r="F2" t="str">
        <f>VLOOKUP("EJAZ*", 'RENT DATA'!A:E, 5, FALSE)</f>
        <v>GRP 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5EDC1-2D01-BF47-8662-BF257FC57E2D}">
  <sheetPr codeName="Sheet18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43</v>
      </c>
      <c r="E2">
        <f>SUMIF('RENT DATA'!A:A, "NEHAL*", 'RENT DATA'!C:C)</f>
        <v>209000</v>
      </c>
      <c r="F2" t="str">
        <f>VLOOKUP("NEHAL*", 'RENT DATA'!A:E, 5, FALSE)</f>
        <v>GRP 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43D2D-3550-EE4B-99FD-94F37F8C6AF6}">
  <sheetPr codeName="Sheet19"/>
  <dimension ref="A1:G2"/>
  <sheetViews>
    <sheetView workbookViewId="0">
      <selection activeCell="N39" sqref="N39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35</v>
      </c>
      <c r="E2">
        <f>SUMIF('RENT DATA'!A:A, "ANUJ*", 'RENT DATA'!C:C)</f>
        <v>27500</v>
      </c>
      <c r="F2" t="str">
        <f>VLOOKUP("ANUJ*", 'RENT DATA'!A:E, 5, FALSE)</f>
        <v>GRP 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AF06A-3F77-DF4B-9FB3-626E81D37657}">
  <sheetPr codeName="Sheet20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41</v>
      </c>
      <c r="E2">
        <f>SUMIF('RENT DATA'!A:A, "ATIQUE*", 'RENT DATA'!C:C)</f>
        <v>20000</v>
      </c>
      <c r="F2" t="str">
        <f>VLOOKUP("ATIQUE*", 'RENT DATA'!A:E, 5, FALSE)</f>
        <v>GRP 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1AF26-B713-5940-AA2F-061EC4709724}">
  <sheetPr codeName="Sheet21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55</v>
      </c>
      <c r="E2">
        <f>SUMIF('RENT DATA'!A:A, "RANJAN*", 'RENT DATA'!C:C)</f>
        <v>62500</v>
      </c>
      <c r="F2" t="str">
        <f>VLOOKUP("RANJAN*", 'RENT DATA'!A:E, 5, FALSE)</f>
        <v>GRP 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0AD6B-3192-4A48-8801-8199B1A90E21}">
  <sheetPr codeName="Sheet22"/>
  <dimension ref="A1:G2"/>
  <sheetViews>
    <sheetView workbookViewId="0">
      <selection sqref="A1:G1"/>
    </sheetView>
  </sheetViews>
  <sheetFormatPr defaultColWidth="11.42578125" defaultRowHeight="15" x14ac:dyDescent="0.25"/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45</v>
      </c>
      <c r="E2">
        <f>SUMIF('RENT DATA'!A:A, "MANISH*", 'RENT DATA'!C:C)</f>
        <v>38000</v>
      </c>
      <c r="F2" t="str">
        <f>VLOOKUP("MANISH*", 'RENT DATA'!A:E, 5, FALSE)</f>
        <v>GRP 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EC704-54D0-E642-B94C-C423FBDDE581}">
  <sheetPr codeName="Sheet23"/>
  <dimension ref="A1:G2"/>
  <sheetViews>
    <sheetView workbookViewId="0">
      <selection activeCell="D4" sqref="D4"/>
    </sheetView>
  </sheetViews>
  <sheetFormatPr defaultColWidth="11.42578125" defaultRowHeight="15" x14ac:dyDescent="0.25"/>
  <cols>
    <col min="3" max="3" width="15.7109375" bestFit="1" customWidth="1"/>
  </cols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47</v>
      </c>
      <c r="E2">
        <f>SUMIF('RENT DATA'!A:A, "SUNNY*", 'RENT DATA'!C:C)</f>
        <v>16000</v>
      </c>
      <c r="F2" t="str">
        <f>VLOOKUP("SUNNY*", 'RENT DATA'!A:E, 5, FALSE)</f>
        <v>GRP 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6FD8A-1F94-4C24-A0D7-63745D842569}">
  <dimension ref="A1:G2"/>
  <sheetViews>
    <sheetView workbookViewId="0">
      <selection activeCell="K17" sqref="K17"/>
    </sheetView>
  </sheetViews>
  <sheetFormatPr defaultRowHeight="15" x14ac:dyDescent="0.25"/>
  <cols>
    <col min="1" max="1" width="15.7109375" customWidth="1"/>
    <col min="2" max="2" width="12.7109375" customWidth="1"/>
    <col min="3" max="3" width="20.7109375" customWidth="1"/>
    <col min="4" max="7" width="15.7109375" customWidth="1"/>
  </cols>
  <sheetData>
    <row r="1" spans="1:7" x14ac:dyDescent="0.25">
      <c r="A1" s="3" t="s">
        <v>76</v>
      </c>
      <c r="B1" s="3" t="s">
        <v>79</v>
      </c>
      <c r="C1" s="3" t="s">
        <v>198</v>
      </c>
      <c r="D1" s="3" t="s">
        <v>75</v>
      </c>
      <c r="E1" s="3" t="s">
        <v>77</v>
      </c>
      <c r="F1" s="3" t="s">
        <v>78</v>
      </c>
      <c r="G1" s="3" t="s">
        <v>80</v>
      </c>
    </row>
    <row r="2" spans="1:7" x14ac:dyDescent="0.25">
      <c r="D2" t="s">
        <v>11</v>
      </c>
      <c r="E2">
        <f>SUMIF('RENT DATA'!A:A, "NOOR MD.*", 'RENT DATA'!C:C)</f>
        <v>11000</v>
      </c>
      <c r="F2" t="str">
        <f>VLOOKUP("NOOR MD.*", 'RENT DATA'!A:E, 5, FALSE)</f>
        <v>GRP 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RENT DATA</vt:lpstr>
      <vt:lpstr>PAYMENT SHEET</vt:lpstr>
      <vt:lpstr>EXPENDITURE</vt:lpstr>
      <vt:lpstr>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2026-07-30T16:53:22Z</dcterms:modified>
</cp:coreProperties>
</file>