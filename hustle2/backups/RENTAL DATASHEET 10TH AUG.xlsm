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LLG\hustle\hustle2\"/>
    </mc:Choice>
  </mc:AlternateContent>
  <xr:revisionPtr revIDLastSave="0" documentId="13_ncr:1_{8ECD4F0C-4CC4-408F-96FC-338493030973}" xr6:coauthVersionLast="47" xr6:coauthVersionMax="47" xr10:uidLastSave="{00000000-0000-0000-0000-000000000000}"/>
  <bookViews>
    <workbookView xWindow="-120" yWindow="-120" windowWidth="29040" windowHeight="16440" tabRatio="938" activeTab="2" xr2:uid="{00000000-000D-0000-FFFF-FFFF00000000}"/>
  </bookViews>
  <sheets>
    <sheet name="todays_rent_data" sheetId="1" r:id="rId1"/>
    <sheet name="TODAYS_EXPENDITURE" sheetId="3" r:id="rId2"/>
    <sheet name="DATABASE_EXPENDITURE" sheetId="29" r:id="rId3"/>
    <sheet name="PAYMENT SHEET" sheetId="2" r:id="rId4"/>
    <sheet name="PURCHASE SHEET" sheetId="28" r:id="rId5"/>
    <sheet name="DATABASE_PURCHASE" sheetId="27" r:id="rId6"/>
    <sheet name="MUJIB" sheetId="5" r:id="rId7"/>
    <sheet name="PERVAZ" sheetId="6" r:id="rId8"/>
    <sheet name="AZHAR" sheetId="7" r:id="rId9"/>
    <sheet name="HYDER" sheetId="8" r:id="rId10"/>
    <sheet name="RAFAT" sheetId="9" r:id="rId11"/>
    <sheet name="MOIN" sheetId="10" r:id="rId12"/>
    <sheet name="ANAS" sheetId="11" r:id="rId13"/>
    <sheet name="AZIM" sheetId="12" r:id="rId14"/>
    <sheet name="SONU" sheetId="13" r:id="rId15"/>
    <sheet name="DUBEY JI" sheetId="14" r:id="rId16"/>
    <sheet name="KAMAL" sheetId="15" r:id="rId17"/>
    <sheet name="EJAZ" sheetId="16" r:id="rId18"/>
    <sheet name="NEHAL" sheetId="17" r:id="rId19"/>
    <sheet name="ANUJ" sheetId="18" r:id="rId20"/>
    <sheet name="ATIQUE" sheetId="19" r:id="rId21"/>
    <sheet name="RANJAN" sheetId="20" r:id="rId22"/>
    <sheet name="MANISH" sheetId="21" r:id="rId23"/>
    <sheet name="SUNNY" sheetId="22" r:id="rId24"/>
    <sheet name="NOOR MD." sheetId="23" r:id="rId25"/>
  </sheets>
  <definedNames>
    <definedName name="_xlnm._FilterDatabase" localSheetId="2" hidden="1">DATABASE_EXPENDITURE!$A$1:$G$1</definedName>
    <definedName name="_xlnm._FilterDatabase" localSheetId="1" hidden="1">TODAYS_EXPENDITURE!$A$1:$G$1</definedName>
    <definedName name="_xlnm._FilterDatabase" localSheetId="0" hidden="1">todays_rent_data!$A$1:$M$34</definedName>
  </definedNames>
  <calcPr calcId="191029"/>
</workbook>
</file>

<file path=xl/calcChain.xml><?xml version="1.0" encoding="utf-8"?>
<calcChain xmlns="http://schemas.openxmlformats.org/spreadsheetml/2006/main">
  <c r="B27" i="3" l="1"/>
  <c r="B27" i="29"/>
  <c r="G8" i="29"/>
  <c r="I7" i="29"/>
  <c r="AB6" i="29"/>
  <c r="H4" i="6"/>
  <c r="G4" i="6"/>
  <c r="E4" i="6"/>
  <c r="H3" i="6"/>
  <c r="G3" i="6"/>
  <c r="E3" i="6"/>
  <c r="G8" i="3"/>
  <c r="I7" i="3"/>
  <c r="AB6" i="3"/>
  <c r="C36" i="1"/>
  <c r="C35" i="1"/>
  <c r="C32" i="1"/>
  <c r="C29" i="1"/>
  <c r="C24" i="1"/>
  <c r="C12" i="1"/>
  <c r="G3" i="15" l="1"/>
  <c r="E3" i="15"/>
  <c r="H3" i="15" s="1"/>
  <c r="E3" i="14"/>
  <c r="H3" i="14" s="1"/>
  <c r="G3" i="14"/>
  <c r="G4" i="11"/>
  <c r="E4" i="11"/>
  <c r="H4" i="11" s="1"/>
  <c r="G3" i="11"/>
  <c r="E3" i="11"/>
  <c r="H3" i="11" s="1"/>
  <c r="G3" i="23"/>
  <c r="E3" i="23"/>
  <c r="H3" i="23" s="1"/>
  <c r="G2" i="23"/>
  <c r="E2" i="23"/>
  <c r="H2" i="23" s="1"/>
  <c r="G2" i="22"/>
  <c r="E2" i="22"/>
  <c r="H2" i="22" s="1"/>
  <c r="G2" i="21"/>
  <c r="E2" i="21"/>
  <c r="H2" i="21" s="1"/>
  <c r="G2" i="20"/>
  <c r="E2" i="20"/>
  <c r="H2" i="20" s="1"/>
  <c r="G2" i="19"/>
  <c r="E2" i="19"/>
  <c r="H2" i="19" s="1"/>
  <c r="G2" i="18"/>
  <c r="E2" i="18"/>
  <c r="H2" i="18" s="1"/>
  <c r="G2" i="17"/>
  <c r="E2" i="17"/>
  <c r="H2" i="17" s="1"/>
  <c r="G2" i="16"/>
  <c r="E2" i="16"/>
  <c r="H2" i="16" s="1"/>
  <c r="G2" i="15"/>
  <c r="E2" i="15"/>
  <c r="H2" i="15" s="1"/>
  <c r="G2" i="14"/>
  <c r="E2" i="14"/>
  <c r="H2" i="14" s="1"/>
  <c r="G2" i="13"/>
  <c r="E2" i="13"/>
  <c r="H2" i="13" s="1"/>
  <c r="G2" i="12"/>
  <c r="E2" i="12"/>
  <c r="H2" i="12" s="1"/>
  <c r="G2" i="11"/>
  <c r="E2" i="11"/>
  <c r="H2" i="11" s="1"/>
  <c r="G2" i="10"/>
  <c r="E2" i="10"/>
  <c r="H2" i="10" s="1"/>
  <c r="G2" i="9"/>
  <c r="E2" i="9"/>
  <c r="H2" i="9" s="1"/>
  <c r="G2" i="8"/>
  <c r="E2" i="8"/>
  <c r="H2" i="8" s="1"/>
  <c r="G2" i="7"/>
  <c r="E2" i="7"/>
  <c r="H2" i="7" s="1"/>
  <c r="G2" i="6"/>
  <c r="E2" i="6"/>
  <c r="H2" i="6" s="1"/>
  <c r="G2" i="5"/>
  <c r="E2" i="5"/>
  <c r="H2" i="5" s="1"/>
  <c r="D5" i="2"/>
  <c r="D1048576" i="2" s="1"/>
</calcChain>
</file>

<file path=xl/sharedStrings.xml><?xml version="1.0" encoding="utf-8"?>
<sst xmlns="http://schemas.openxmlformats.org/spreadsheetml/2006/main" count="739" uniqueCount="247">
  <si>
    <t>Tenant Name</t>
  </si>
  <si>
    <t>Property / Location</t>
  </si>
  <si>
    <t>Rent Amount</t>
  </si>
  <si>
    <t>Rented Unit / Place</t>
  </si>
  <si>
    <t>Group</t>
  </si>
  <si>
    <t>Duration (Months)</t>
  </si>
  <si>
    <t>Subscription End Date</t>
  </si>
  <si>
    <t>ANAS 1</t>
  </si>
  <si>
    <t>URLP</t>
  </si>
  <si>
    <t>SHED1 / HALL1</t>
  </si>
  <si>
    <t>GRP 1</t>
  </si>
  <si>
    <t>NOOR MD.</t>
  </si>
  <si>
    <t>PPL</t>
  </si>
  <si>
    <t>BUILD / GR FLR</t>
  </si>
  <si>
    <t>AZIM</t>
  </si>
  <si>
    <t>SHED 3 / HALL 2</t>
  </si>
  <si>
    <t>ANAS 5</t>
  </si>
  <si>
    <t>SHED 3 / HALL 4</t>
  </si>
  <si>
    <t>SONU</t>
  </si>
  <si>
    <t>SHED 2 /  HALL 4</t>
  </si>
  <si>
    <t>ANAS 4</t>
  </si>
  <si>
    <t xml:space="preserve">BUILD / </t>
  </si>
  <si>
    <t>DUBEY JI</t>
  </si>
  <si>
    <t>BUILD / 1ST FLOOR</t>
  </si>
  <si>
    <t>ANAS 2</t>
  </si>
  <si>
    <t>KAMAL</t>
  </si>
  <si>
    <t>SHED 3 / HALL 3</t>
  </si>
  <si>
    <t>ANAS 3</t>
  </si>
  <si>
    <t>SHED 3 / HALL 5</t>
  </si>
  <si>
    <t>GRP 1 Total</t>
  </si>
  <si>
    <t>NEHAL 2</t>
  </si>
  <si>
    <t>BUILD / 2ND FLR / HALL 1</t>
  </si>
  <si>
    <t>GRP 2</t>
  </si>
  <si>
    <t>NEHAL 3</t>
  </si>
  <si>
    <t>SHED 1 / HALL 1</t>
  </si>
  <si>
    <t>EJAZ</t>
  </si>
  <si>
    <t>BUILD / GR FLR / HALL 1</t>
  </si>
  <si>
    <t>ANUJ</t>
  </si>
  <si>
    <t>BUILD / 1ST FLR / HALL 1</t>
  </si>
  <si>
    <t>RANJAN 2</t>
  </si>
  <si>
    <t>BUILD / 1ST FLR / HALL 3</t>
  </si>
  <si>
    <t>NEHAL 5</t>
  </si>
  <si>
    <t>SHED 2 /  HALL 3</t>
  </si>
  <si>
    <t>ATIQUE</t>
  </si>
  <si>
    <t>SHED 1 / HALL 2</t>
  </si>
  <si>
    <t xml:space="preserve"> </t>
  </si>
  <si>
    <t>NEHAL</t>
  </si>
  <si>
    <t>SHED 3 / HALL 1</t>
  </si>
  <si>
    <t>MANISH</t>
  </si>
  <si>
    <t>SHED2 / HALL 1</t>
  </si>
  <si>
    <t>SUNNY</t>
  </si>
  <si>
    <t>SHED 3 / HALL 6</t>
  </si>
  <si>
    <t>NEHAL 4</t>
  </si>
  <si>
    <t>SHED 2 /  HALL 2</t>
  </si>
  <si>
    <t>GRP 2 Total</t>
  </si>
  <si>
    <t>MOIN</t>
  </si>
  <si>
    <t>SHED 2 /  HALL 1</t>
  </si>
  <si>
    <t>GRP 3</t>
  </si>
  <si>
    <t>HYDER</t>
  </si>
  <si>
    <t>RAFAT</t>
  </si>
  <si>
    <t>BARI</t>
  </si>
  <si>
    <t>GR FLR</t>
  </si>
  <si>
    <t>MOIN 2</t>
  </si>
  <si>
    <t>BUILD / 1ST FLR</t>
  </si>
  <si>
    <t>GRP 3 Total</t>
  </si>
  <si>
    <t>RANJAN</t>
  </si>
  <si>
    <t>BUILD / 1ST FLR / HALL 2</t>
  </si>
  <si>
    <t>GRP 4</t>
  </si>
  <si>
    <t>MUJIB</t>
  </si>
  <si>
    <t>GRP 4 Total</t>
  </si>
  <si>
    <t>PERVAZ</t>
  </si>
  <si>
    <t>SHED 4 / HALL 1</t>
  </si>
  <si>
    <t>GRP 5</t>
  </si>
  <si>
    <t>AZHAR</t>
  </si>
  <si>
    <t>GRP 5 Total</t>
  </si>
  <si>
    <t>Grand Total</t>
  </si>
  <si>
    <t>DATE</t>
  </si>
  <si>
    <t>TIME</t>
  </si>
  <si>
    <t>NAME</t>
  </si>
  <si>
    <t>AMOUNT</t>
  </si>
  <si>
    <t>GROUP</t>
  </si>
  <si>
    <t>DUE</t>
  </si>
  <si>
    <t>NIL</t>
  </si>
  <si>
    <t>PERWAZ</t>
  </si>
  <si>
    <t>SALARIES</t>
  </si>
  <si>
    <t xml:space="preserve">CESC / URP </t>
  </si>
  <si>
    <t>CESC / RESD</t>
  </si>
  <si>
    <t>DIGRUM / URP</t>
  </si>
  <si>
    <t>ANIMAL FEED</t>
  </si>
  <si>
    <t>FUEL / GAS</t>
  </si>
  <si>
    <t>MEDICAL</t>
  </si>
  <si>
    <t>REPAIR</t>
  </si>
  <si>
    <t>OVERALL TOTAL</t>
  </si>
  <si>
    <t>RELIGION</t>
  </si>
  <si>
    <t>NAIM</t>
  </si>
  <si>
    <t>M/P</t>
  </si>
  <si>
    <t>SHAMIMA</t>
  </si>
  <si>
    <t>15000 WEEKLY</t>
  </si>
  <si>
    <t>SAM / DR</t>
  </si>
  <si>
    <t>SHED / MISTRI</t>
  </si>
  <si>
    <t>ZD</t>
  </si>
  <si>
    <t>NIZAM</t>
  </si>
  <si>
    <t xml:space="preserve"> GATE</t>
  </si>
  <si>
    <t>NAUSHAD ALAM</t>
  </si>
  <si>
    <t>KANIZ</t>
  </si>
  <si>
    <t>ZOE</t>
  </si>
  <si>
    <t>SAM/TEST</t>
  </si>
  <si>
    <t xml:space="preserve">TIN </t>
  </si>
  <si>
    <t>SD</t>
  </si>
  <si>
    <t>SHAFIQUE</t>
  </si>
  <si>
    <t>SK BHALLU</t>
  </si>
  <si>
    <t>SULTANA</t>
  </si>
  <si>
    <t>ZARA</t>
  </si>
  <si>
    <t>SAM /  MED</t>
  </si>
  <si>
    <t>KD</t>
  </si>
  <si>
    <t>SULTAN</t>
  </si>
  <si>
    <t>MASJID</t>
  </si>
  <si>
    <t>AT</t>
  </si>
  <si>
    <t>NAZIR</t>
  </si>
  <si>
    <t xml:space="preserve"> BARI</t>
  </si>
  <si>
    <t>JAVED</t>
  </si>
  <si>
    <t>PETROL / KAMAL</t>
  </si>
  <si>
    <t>ZYED</t>
  </si>
  <si>
    <t>PETROL / NIZAM</t>
  </si>
  <si>
    <t>OTHERS</t>
  </si>
  <si>
    <t>ISHRAQUE</t>
  </si>
  <si>
    <t>MERAB</t>
  </si>
  <si>
    <t xml:space="preserve"> MASJID</t>
  </si>
  <si>
    <t>ENAYATULLA</t>
  </si>
  <si>
    <t>RASHEED</t>
  </si>
  <si>
    <t>MUNNA</t>
  </si>
  <si>
    <t>RAFIQUE</t>
  </si>
  <si>
    <t xml:space="preserve">SURAJ </t>
  </si>
  <si>
    <t>SECURITY</t>
  </si>
  <si>
    <t>SAM</t>
  </si>
  <si>
    <t>RESD</t>
  </si>
  <si>
    <t>SAM 2</t>
  </si>
  <si>
    <t>ZOE/ZARA</t>
  </si>
  <si>
    <t>EC</t>
  </si>
  <si>
    <t>NARAYAN</t>
  </si>
  <si>
    <t>BAWA</t>
  </si>
  <si>
    <t>2500/WEEKLY</t>
  </si>
  <si>
    <t>RATE</t>
  </si>
  <si>
    <t>TRSP</t>
  </si>
  <si>
    <t>ATTA</t>
  </si>
  <si>
    <t>GROUP 1</t>
  </si>
  <si>
    <t>ALOO</t>
  </si>
  <si>
    <t>PIYAAZ</t>
  </si>
  <si>
    <t>ADRAK</t>
  </si>
  <si>
    <t>LAHSUN</t>
  </si>
  <si>
    <t xml:space="preserve">GROUP 2 </t>
  </si>
  <si>
    <t>LIME</t>
  </si>
  <si>
    <t>CARROT</t>
  </si>
  <si>
    <t>GREEN CHILLI</t>
  </si>
  <si>
    <t>MULI</t>
  </si>
  <si>
    <t>KHEERA</t>
  </si>
  <si>
    <t>BEET</t>
  </si>
  <si>
    <t>CORRIANDER</t>
  </si>
  <si>
    <t>CAPCICUM</t>
  </si>
  <si>
    <t>GROUP 3</t>
  </si>
  <si>
    <t>BEEF BONELESS</t>
  </si>
  <si>
    <t xml:space="preserve">BEEF </t>
  </si>
  <si>
    <t>MUTTON BONELESS</t>
  </si>
  <si>
    <t>MUTTON</t>
  </si>
  <si>
    <t>FISH</t>
  </si>
  <si>
    <t>GROUP 4</t>
  </si>
  <si>
    <t>MAIDA</t>
  </si>
  <si>
    <t>SUJI</t>
  </si>
  <si>
    <t>RICE DAILY</t>
  </si>
  <si>
    <t>RICE BASMATI</t>
  </si>
  <si>
    <t>GROUP 5</t>
  </si>
  <si>
    <t xml:space="preserve"> CHANA DAAL</t>
  </si>
  <si>
    <t>MASOOR DAAL</t>
  </si>
  <si>
    <t>MOONG DAAL</t>
  </si>
  <si>
    <t>ADHAD DAAL</t>
  </si>
  <si>
    <t>MAAS DAAL</t>
  </si>
  <si>
    <t>GROUP 6</t>
  </si>
  <si>
    <t>DHANYA</t>
  </si>
  <si>
    <t>ZEERA</t>
  </si>
  <si>
    <t>GOLKI</t>
  </si>
  <si>
    <t>HALDI</t>
  </si>
  <si>
    <t>MIRCHA</t>
  </si>
  <si>
    <t>SALT</t>
  </si>
  <si>
    <t>GROUP 7</t>
  </si>
  <si>
    <t>FRUITS</t>
  </si>
  <si>
    <t>GROUP 8</t>
  </si>
  <si>
    <t>REFINE OIL</t>
  </si>
  <si>
    <t>MUSTARD OIL</t>
  </si>
  <si>
    <t>GROUP 9</t>
  </si>
  <si>
    <t>EGG</t>
  </si>
  <si>
    <t>MILK</t>
  </si>
  <si>
    <t>BUTTER</t>
  </si>
  <si>
    <t>GHEE</t>
  </si>
  <si>
    <t>FOR THE MONTH</t>
  </si>
  <si>
    <t>PAID AMOUNT</t>
  </si>
  <si>
    <t>12PM</t>
  </si>
  <si>
    <t>JULY</t>
  </si>
  <si>
    <t>ANAS</t>
  </si>
  <si>
    <t>PAID</t>
  </si>
  <si>
    <t>BECHALI</t>
  </si>
  <si>
    <t>ADINUL</t>
  </si>
  <si>
    <t>APPLE</t>
  </si>
  <si>
    <t>POMEGRANATE</t>
  </si>
  <si>
    <t>GUAVA</t>
  </si>
  <si>
    <t>9PC</t>
  </si>
  <si>
    <t>BANANA</t>
  </si>
  <si>
    <t>12PC</t>
  </si>
  <si>
    <t>GROUP 10</t>
  </si>
  <si>
    <t>DATES/KALMI</t>
  </si>
  <si>
    <t>ALMOND</t>
  </si>
  <si>
    <t>KAJU</t>
  </si>
  <si>
    <t>OTHER EXPENSE</t>
  </si>
  <si>
    <t>GROUP 11</t>
  </si>
  <si>
    <t>PEN</t>
  </si>
  <si>
    <t>LOCATION</t>
  </si>
  <si>
    <t>SHED</t>
  </si>
  <si>
    <t>TOTAL AMOUNT</t>
  </si>
  <si>
    <t>TOTAL PAID</t>
  </si>
  <si>
    <t>GROUP DUE</t>
  </si>
  <si>
    <t>LAST PAID</t>
  </si>
  <si>
    <t>-</t>
  </si>
  <si>
    <t>GROUP / FOR</t>
  </si>
  <si>
    <t>ITEM NAME</t>
  </si>
  <si>
    <t>QTY (KG)</t>
  </si>
  <si>
    <t>QTY (PCS)</t>
  </si>
  <si>
    <t>BEEF</t>
  </si>
  <si>
    <t>CHANA DAAL</t>
  </si>
  <si>
    <t>CHICKEN BONELESS</t>
  </si>
  <si>
    <t>CHICKEN</t>
  </si>
  <si>
    <t>SELECT DATE:</t>
  </si>
  <si>
    <t>TYPE</t>
  </si>
  <si>
    <t>PARVEZ</t>
  </si>
  <si>
    <t>AKHTAR</t>
  </si>
  <si>
    <t>SHAHNAWAZ/108033</t>
  </si>
  <si>
    <t>LABOUR/URP</t>
  </si>
  <si>
    <t>WEEKLY</t>
  </si>
  <si>
    <t>MONTH</t>
  </si>
  <si>
    <t>JULY_2026</t>
  </si>
  <si>
    <t>CURRENT MONTH</t>
  </si>
  <si>
    <t>INDIVIDUAL PAID</t>
  </si>
  <si>
    <t>INDIVIDUAL DUE</t>
  </si>
  <si>
    <t>AUGUST</t>
  </si>
  <si>
    <t>AVAILABLE BALANCE</t>
  </si>
  <si>
    <t>DUE AMOUNT</t>
  </si>
  <si>
    <t>TOTAL</t>
  </si>
  <si>
    <t>TOTAL RENT COLLECTED</t>
  </si>
  <si>
    <t>FUEL/GAS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</si>
</sst>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11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</font>
    <font>
      <b/>
      <sz val="1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2981B9"/>
        <bgColor indexed="64"/>
      </patternFill>
    </fill>
    <fill>
      <patternFill patternType="solid">
        <fgColor rgb="FF3498DB"/>
        <bgColor indexed="64"/>
      </patternFill>
    </fill>
  </fills>
  <borders count="5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2" borderId="0" xfId="0" applyFont="1" applyFill="1"/>
    <xf numFmtId="0" fontId="1" fillId="4" borderId="0" xfId="0" applyFont="1" applyFill="1"/>
    <xf numFmtId="0" fontId="0" fillId="4" borderId="0" xfId="0" applyFill="1"/>
    <xf numFmtId="14" fontId="0" fillId="0" borderId="0" xfId="0" applyNumberFormat="1"/>
    <xf numFmtId="18" fontId="0" fillId="0" borderId="0" xfId="0" applyNumberFormat="1"/>
    <xf numFmtId="0" fontId="0" fillId="0" borderId="0" xfId="0" applyAlignment="1">
      <alignment horizontal="center"/>
    </xf>
    <xf numFmtId="0" fontId="5" fillId="0" borderId="0" xfId="0" applyFont="1"/>
    <xf numFmtId="0" fontId="5" fillId="4" borderId="0" xfId="0" applyFont="1" applyFill="1"/>
    <xf numFmtId="0" fontId="6" fillId="10" borderId="1" xfId="0" applyFont="1" applyFill="1" applyBorder="1" applyAlignment="1">
      <alignment horizontal="center" vertical="center"/>
    </xf>
    <xf numFmtId="0" fontId="0" fillId="11" borderId="1" xfId="0" applyFill="1" applyBorder="1"/>
    <xf numFmtId="0" fontId="0" fillId="0" borderId="1" xfId="0" applyBorder="1"/>
    <xf numFmtId="3" fontId="0" fillId="11" borderId="1" xfId="0" applyNumberFormat="1" applyFill="1" applyBorder="1"/>
    <xf numFmtId="3" fontId="0" fillId="0" borderId="1" xfId="0" applyNumberFormat="1" applyBorder="1"/>
    <xf numFmtId="3" fontId="0" fillId="0" borderId="0" xfId="0" applyNumberFormat="1"/>
    <xf numFmtId="0" fontId="7" fillId="0" borderId="0" xfId="0" applyFont="1" applyAlignment="1">
      <alignment horizontal="right"/>
    </xf>
    <xf numFmtId="14" fontId="7" fillId="12" borderId="2" xfId="0" applyNumberFormat="1" applyFont="1" applyFill="1" applyBorder="1"/>
    <xf numFmtId="0" fontId="2" fillId="0" borderId="0" xfId="0" applyFont="1"/>
    <xf numFmtId="0" fontId="0" fillId="5" borderId="3" xfId="0" applyFill="1" applyBorder="1"/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3" xfId="0" applyBorder="1"/>
    <xf numFmtId="14" fontId="0" fillId="0" borderId="3" xfId="0" applyNumberFormat="1" applyBorder="1"/>
    <xf numFmtId="0" fontId="3" fillId="0" borderId="3" xfId="0" applyFont="1" applyBorder="1"/>
    <xf numFmtId="0" fontId="0" fillId="9" borderId="3" xfId="0" applyFill="1" applyBorder="1"/>
    <xf numFmtId="0" fontId="0" fillId="3" borderId="3" xfId="0" applyFill="1" applyBorder="1"/>
    <xf numFmtId="0" fontId="8" fillId="0" borderId="3" xfId="0" applyFont="1" applyBorder="1"/>
    <xf numFmtId="0" fontId="0" fillId="8" borderId="3" xfId="0" applyFill="1" applyBorder="1"/>
    <xf numFmtId="0" fontId="0" fillId="6" borderId="3" xfId="0" applyFill="1" applyBorder="1"/>
    <xf numFmtId="0" fontId="0" fillId="7" borderId="3" xfId="0" applyFill="1" applyBorder="1"/>
    <xf numFmtId="16" fontId="0" fillId="0" borderId="3" xfId="0" applyNumberFormat="1" applyBorder="1" applyAlignment="1">
      <alignment horizontal="center"/>
    </xf>
    <xf numFmtId="0" fontId="4" fillId="0" borderId="3" xfId="0" applyFont="1" applyBorder="1"/>
    <xf numFmtId="0" fontId="2" fillId="0" borderId="3" xfId="0" applyFont="1" applyBorder="1"/>
    <xf numFmtId="0" fontId="6" fillId="13" borderId="4" xfId="0" applyFont="1" applyFill="1" applyBorder="1" applyAlignment="1">
      <alignment horizontal="center" vertical="center"/>
    </xf>
    <xf numFmtId="0" fontId="9" fillId="14" borderId="4" xfId="0" applyFont="1" applyFill="1" applyBorder="1" applyAlignment="1">
      <alignment horizontal="center" vertical="center"/>
    </xf>
    <xf numFmtId="0" fontId="9" fillId="14" borderId="4" xfId="0" applyFont="1" applyFill="1" applyBorder="1" applyAlignment="1">
      <alignment vertical="center"/>
    </xf>
    <xf numFmtId="0" fontId="6" fillId="13" borderId="0" xfId="0" applyFont="1" applyFill="1" applyAlignment="1">
      <alignment horizontal="center"/>
    </xf>
    <xf numFmtId="0" fontId="9" fillId="14" borderId="0" xfId="0" applyFont="1" applyFill="1" applyAlignment="1">
      <alignment horizontal="center"/>
    </xf>
    <xf numFmtId="0" fontId="6" fillId="13" borderId="0" xfId="0" applyFont="1" applyFill="1"/>
    <xf numFmtId="164" fontId="0" fillId="11" borderId="1" xfId="0" applyNumberFormat="1" applyFill="1" applyBorder="1"/>
    <xf numFmtId="3" fontId="4" fillId="0" borderId="0" xfId="0" applyNumberFormat="1" applyFont="1"/>
    <xf numFmtId="3" fontId="10" fillId="0" borderId="0" xfId="0" applyNumberFormat="1" applyFont="1"/>
    <xf numFmtId="0" fontId="6" fillId="10" borderId="0" xfId="0" applyFont="1" applyFill="1" applyAlignment="1">
      <alignment horizontal="center"/>
    </xf>
    <xf numFmtId="3" fontId="2" fillId="0" borderId="0" xfId="0" applyNumberFormat="1" applyFont="1" applyAlignment="1">
      <alignment horizontal="center"/>
    </xf>
    <xf numFmtId="3" fontId="10" fillId="0" borderId="0" xfId="0" applyNumberFormat="1" applyFont="1" applyAlignment="1">
      <alignment horizontal="center"/>
    </xf>
    <xf numFmtId="0" fontId="9" fillId="14" borderId="4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numFmt numFmtId="165" formatCode=";;;"/>
    </dxf>
    <dxf>
      <numFmt numFmtId="166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29</xdr:row>
      <xdr:rowOff>114300</xdr:rowOff>
    </xdr:from>
    <xdr:to>
      <xdr:col>11</xdr:col>
      <xdr:colOff>895350</xdr:colOff>
      <xdr:row>32</xdr:row>
      <xdr:rowOff>85725</xdr:rowOff>
    </xdr:to>
    <xdr:sp macro="[0]!LoadRent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90AD815-345C-418B-9CA7-FBCCAB445F4E}"/>
            </a:ext>
          </a:extLst>
        </xdr:cNvPr>
        <xdr:cNvSpPr/>
      </xdr:nvSpPr>
      <xdr:spPr>
        <a:xfrm>
          <a:off x="12982575" y="5810250"/>
          <a:ext cx="1809750" cy="54292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70C0"/>
              </a:solidFill>
              <a:latin typeface="Bauhaus 93" panose="04030905020B02020C02" pitchFamily="82" charset="0"/>
            </a:rPr>
            <a:t>LOAD RENT DATA</a:t>
          </a:r>
          <a:endParaRPr lang="en-AS" sz="1600">
            <a:solidFill>
              <a:srgbClr val="0070C0"/>
            </a:solidFill>
            <a:latin typeface="Bauhaus 93" panose="04030905020B02020C02" pitchFamily="8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168089</xdr:colOff>
      <xdr:row>20</xdr:row>
      <xdr:rowOff>134470</xdr:rowOff>
    </xdr:from>
    <xdr:to>
      <xdr:col>11</xdr:col>
      <xdr:colOff>459442</xdr:colOff>
      <xdr:row>24</xdr:row>
      <xdr:rowOff>33617</xdr:rowOff>
    </xdr:to>
    <xdr:sp macro="[0]!SaveExpenditur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9BDD5CA-126E-416C-3014-D4BF217A6A72}"/>
            </a:ext>
          </a:extLst>
        </xdr:cNvPr>
        <xdr:cNvSpPr/>
      </xdr:nvSpPr>
      <xdr:spPr>
        <a:xfrm>
          <a:off x="8438030" y="3989294"/>
          <a:ext cx="1949824" cy="661147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>
              <a:latin typeface="Bauhaus 93" panose="04030905020B02020C02" pitchFamily="82" charset="0"/>
            </a:rPr>
            <a:t>SAVE DATA		</a:t>
          </a:r>
          <a:endParaRPr lang="en-AS" sz="2800">
            <a:latin typeface="Bauhaus 93" panose="04030905020B02020C02" pitchFamily="82" charset="0"/>
          </a:endParaRPr>
        </a:p>
      </xdr:txBody>
    </xdr:sp>
    <xdr:clientData/>
  </xdr:twoCellAnchor>
  <xdr:twoCellAnchor>
    <xdr:from>
      <xdr:col>11</xdr:col>
      <xdr:colOff>784410</xdr:colOff>
      <xdr:row>20</xdr:row>
      <xdr:rowOff>156882</xdr:rowOff>
    </xdr:from>
    <xdr:to>
      <xdr:col>14</xdr:col>
      <xdr:colOff>291352</xdr:colOff>
      <xdr:row>24</xdr:row>
      <xdr:rowOff>56029</xdr:rowOff>
    </xdr:to>
    <xdr:sp macro="[0]!LoadExpenditur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5FEB48B-15DF-4CF9-8BCA-FA3BF8C57741}"/>
            </a:ext>
          </a:extLst>
        </xdr:cNvPr>
        <xdr:cNvSpPr/>
      </xdr:nvSpPr>
      <xdr:spPr>
        <a:xfrm>
          <a:off x="10712822" y="4011706"/>
          <a:ext cx="2073089" cy="661147"/>
        </a:xfrm>
        <a:prstGeom prst="roundRect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>
              <a:latin typeface="Bauhaus 93" panose="04030905020B02020C02" pitchFamily="82" charset="0"/>
            </a:rPr>
            <a:t>LOAD DATA</a:t>
          </a:r>
          <a:endParaRPr lang="en-AS" sz="2800">
            <a:latin typeface="Bauhaus 93" panose="04030905020B02020C02" pitchFamily="82" charset="0"/>
          </a:endParaRPr>
        </a:p>
      </xdr:txBody>
    </xdr:sp>
    <xdr:clientData/>
  </xdr:twoCellAnchor>
  <xdr:twoCellAnchor>
    <xdr:from>
      <xdr:col>14</xdr:col>
      <xdr:colOff>392206</xdr:colOff>
      <xdr:row>17</xdr:row>
      <xdr:rowOff>67235</xdr:rowOff>
    </xdr:from>
    <xdr:to>
      <xdr:col>17</xdr:col>
      <xdr:colOff>11205</xdr:colOff>
      <xdr:row>19</xdr:row>
      <xdr:rowOff>168089</xdr:rowOff>
    </xdr:to>
    <xdr:sp macro="[0]!StartNewMonth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407C2F8-87B0-4413-9CA4-93A480A3525F}"/>
            </a:ext>
          </a:extLst>
        </xdr:cNvPr>
        <xdr:cNvSpPr/>
      </xdr:nvSpPr>
      <xdr:spPr>
        <a:xfrm>
          <a:off x="12886765" y="3350559"/>
          <a:ext cx="2588558" cy="481854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200">
              <a:latin typeface="Bauhaus 93" panose="04030905020B02020C02" pitchFamily="82" charset="0"/>
            </a:rPr>
            <a:t>START NEW MONTH</a:t>
          </a:r>
          <a:endParaRPr lang="en-AS" sz="2200">
            <a:latin typeface="Bauhaus 93" panose="04030905020B02020C02" pitchFamily="8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</xdr:col>
      <xdr:colOff>1285875</xdr:colOff>
      <xdr:row>1</xdr:row>
      <xdr:rowOff>254000</xdr:rowOff>
    </xdr:to>
    <xdr:sp macro="SaveDailyPurchases" textlink="">
      <xdr:nvSpPr>
        <xdr:cNvPr id="2" name="Rectangle 1">
          <a:extLst>
            <a:ext uri="{FF2B5EF4-FFF2-40B4-BE49-F238E27FC236}">
              <a16:creationId xmlns:a16="http://schemas.microsoft.com/office/drawing/2014/main" id="{87B9C7ED-4DF4-FC5A-7D77-0EEC7BD4FE20}"/>
            </a:ext>
          </a:extLst>
        </xdr:cNvPr>
        <xdr:cNvSpPr/>
      </xdr:nvSpPr>
      <xdr:spPr>
        <a:xfrm>
          <a:off x="127000" y="127000"/>
          <a:ext cx="2540000" cy="5080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x-none" sz="1400" b="1">
              <a:solidFill>
                <a:srgbClr val="FFFFFF"/>
              </a:solidFill>
            </a:rPr>
            <a:t>💾 </a:t>
          </a:r>
          <a:r>
            <a:rPr lang="en-US" sz="1400" b="1">
              <a:solidFill>
                <a:srgbClr val="FFFFFF"/>
              </a:solidFill>
            </a:rPr>
            <a:t>SAVE TO LEDGER</a:t>
          </a:r>
          <a:endParaRPr lang="x-none" sz="14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EntryFormTable" displayName="EntryFormTable" ref="A3:G54" totalsRowShown="0">
  <autoFilter ref="A3:G54" xr:uid="{00000000-0009-0000-0100-000002000000}"/>
  <tableColumns count="7">
    <tableColumn id="1" xr3:uid="{00000000-0010-0000-0000-000001000000}" name="GROUP / FOR"/>
    <tableColumn id="2" xr3:uid="{00000000-0010-0000-0000-000002000000}" name="ITEM NAME"/>
    <tableColumn id="3" xr3:uid="{00000000-0010-0000-0000-000003000000}" name="QTY (KG)"/>
    <tableColumn id="4" xr3:uid="{00000000-0010-0000-0000-000004000000}" name="QTY (PCS)"/>
    <tableColumn id="5" xr3:uid="{00000000-0010-0000-0000-000005000000}" name="RATE"/>
    <tableColumn id="6" xr3:uid="{00000000-0010-0000-0000-000006000000}" name="TRSP"/>
    <tableColumn id="7" xr3:uid="{00000000-0010-0000-0000-000007000000}" name="TOTAL AMOUNT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ilyPurchaseLedger" displayName="DailyPurchaseLedger" ref="A1:H56" totalsRowShown="0">
  <autoFilter ref="A1:H56" xr:uid="{00000000-0009-0000-0100-000001000000}"/>
  <tableColumns count="8">
    <tableColumn id="1" xr3:uid="{00000000-0010-0000-0100-000001000000}" name="DATE" dataDxfId="1"/>
    <tableColumn id="2" xr3:uid="{00000000-0010-0000-0100-000002000000}" name="GROUP / FOR"/>
    <tableColumn id="3" xr3:uid="{00000000-0010-0000-0100-000003000000}" name="ITEM NAME"/>
    <tableColumn id="4" xr3:uid="{00000000-0010-0000-0100-000004000000}" name="QTY (KG)"/>
    <tableColumn id="5" xr3:uid="{00000000-0010-0000-0100-000005000000}" name="QTY (PCS)"/>
    <tableColumn id="6" xr3:uid="{00000000-0010-0000-0100-000006000000}" name="RATE"/>
    <tableColumn id="7" xr3:uid="{00000000-0010-0000-0100-000007000000}" name="TRSP"/>
    <tableColumn id="8" xr3:uid="{00000000-0010-0000-0100-000008000000}" name="TOTAL AMOUN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O37"/>
  <sheetViews>
    <sheetView showOutlineSymbols="0" zoomScale="70" zoomScaleNormal="70" workbookViewId="0">
      <selection activeCell="E52" sqref="E52"/>
    </sheetView>
  </sheetViews>
  <sheetFormatPr defaultColWidth="8.85546875" defaultRowHeight="15" outlineLevelRow="2" x14ac:dyDescent="0.25"/>
  <cols>
    <col min="1" max="1" width="25" customWidth="1"/>
    <col min="2" max="3" width="15" customWidth="1"/>
    <col min="4" max="4" width="30" customWidth="1"/>
    <col min="5" max="5" width="15" customWidth="1"/>
    <col min="6" max="6" width="20" customWidth="1"/>
    <col min="7" max="7" width="25" customWidth="1"/>
    <col min="8" max="8" width="24.42578125" bestFit="1" customWidth="1"/>
    <col min="9" max="9" width="23.5703125" bestFit="1" customWidth="1"/>
    <col min="10" max="10" width="16.85546875" bestFit="1" customWidth="1"/>
    <col min="11" max="11" width="20.5703125" bestFit="1" customWidth="1"/>
    <col min="12" max="12" width="26.85546875" bestFit="1" customWidth="1"/>
    <col min="13" max="13" width="22.140625" bestFit="1" customWidth="1"/>
    <col min="14" max="14" width="15.7109375" bestFit="1" customWidth="1"/>
    <col min="15" max="15" width="16.85546875" bestFit="1" customWidth="1"/>
  </cols>
  <sheetData>
    <row r="1" spans="1:15" s="3" customFormat="1" ht="24.9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8" t="s">
        <v>239</v>
      </c>
      <c r="I1" s="38" t="s">
        <v>240</v>
      </c>
      <c r="J1" s="9" t="s">
        <v>80</v>
      </c>
      <c r="K1" s="9" t="s">
        <v>219</v>
      </c>
      <c r="L1" s="9" t="s">
        <v>216</v>
      </c>
      <c r="M1" s="9" t="s">
        <v>217</v>
      </c>
      <c r="N1" s="9" t="s">
        <v>218</v>
      </c>
      <c r="O1" s="36" t="s">
        <v>238</v>
      </c>
    </row>
    <row r="2" spans="1:15" ht="18.75" outlineLevel="2" x14ac:dyDescent="0.3">
      <c r="A2" t="s">
        <v>7</v>
      </c>
      <c r="B2" t="s">
        <v>8</v>
      </c>
      <c r="C2">
        <v>35000</v>
      </c>
      <c r="D2" t="s">
        <v>9</v>
      </c>
      <c r="E2" t="s">
        <v>10</v>
      </c>
      <c r="H2" s="40">
        <v>35000</v>
      </c>
      <c r="I2" s="40">
        <v>0</v>
      </c>
      <c r="J2" s="10" t="s">
        <v>10</v>
      </c>
      <c r="K2" s="39">
        <v>46244</v>
      </c>
      <c r="L2" s="12">
        <v>246600</v>
      </c>
      <c r="M2" s="12">
        <v>246600</v>
      </c>
      <c r="N2" s="12">
        <v>0</v>
      </c>
      <c r="O2" s="37" t="s">
        <v>196</v>
      </c>
    </row>
    <row r="3" spans="1:15" outlineLevel="2" x14ac:dyDescent="0.25">
      <c r="A3" t="s">
        <v>11</v>
      </c>
      <c r="B3" t="s">
        <v>12</v>
      </c>
      <c r="C3">
        <v>11000</v>
      </c>
      <c r="D3" t="s">
        <v>13</v>
      </c>
      <c r="E3" t="s">
        <v>10</v>
      </c>
      <c r="H3" s="40">
        <v>11000</v>
      </c>
      <c r="I3" s="40">
        <v>0</v>
      </c>
      <c r="J3" s="11" t="s">
        <v>32</v>
      </c>
      <c r="K3" s="11" t="s">
        <v>220</v>
      </c>
      <c r="L3" s="13">
        <v>420500</v>
      </c>
      <c r="M3" s="13">
        <v>0</v>
      </c>
      <c r="N3" s="13">
        <v>420500</v>
      </c>
    </row>
    <row r="4" spans="1:15" outlineLevel="2" x14ac:dyDescent="0.25">
      <c r="A4" t="s">
        <v>14</v>
      </c>
      <c r="B4" t="s">
        <v>12</v>
      </c>
      <c r="C4">
        <v>26000</v>
      </c>
      <c r="D4" t="s">
        <v>15</v>
      </c>
      <c r="E4" t="s">
        <v>10</v>
      </c>
      <c r="H4" s="40">
        <v>26000</v>
      </c>
      <c r="I4" s="40">
        <v>0</v>
      </c>
      <c r="J4" s="10" t="s">
        <v>57</v>
      </c>
      <c r="K4" s="10" t="s">
        <v>220</v>
      </c>
      <c r="L4" s="12">
        <v>67000</v>
      </c>
      <c r="M4" s="12">
        <v>0</v>
      </c>
      <c r="N4" s="12">
        <v>67000</v>
      </c>
    </row>
    <row r="5" spans="1:15" outlineLevel="2" x14ac:dyDescent="0.25">
      <c r="A5" t="s">
        <v>16</v>
      </c>
      <c r="B5" t="s">
        <v>12</v>
      </c>
      <c r="C5">
        <v>35000</v>
      </c>
      <c r="D5" t="s">
        <v>17</v>
      </c>
      <c r="E5" t="s">
        <v>10</v>
      </c>
      <c r="H5" s="40">
        <v>35000</v>
      </c>
      <c r="I5" s="40">
        <v>0</v>
      </c>
      <c r="J5" s="11" t="s">
        <v>67</v>
      </c>
      <c r="K5" s="11" t="s">
        <v>220</v>
      </c>
      <c r="L5" s="13">
        <v>52500</v>
      </c>
      <c r="M5" s="13">
        <v>0</v>
      </c>
      <c r="N5" s="13">
        <v>52500</v>
      </c>
    </row>
    <row r="6" spans="1:15" outlineLevel="2" x14ac:dyDescent="0.25">
      <c r="A6" t="s">
        <v>18</v>
      </c>
      <c r="B6" t="s">
        <v>12</v>
      </c>
      <c r="C6">
        <v>20000</v>
      </c>
      <c r="D6" t="s">
        <v>19</v>
      </c>
      <c r="E6" t="s">
        <v>10</v>
      </c>
      <c r="H6" s="40">
        <v>20000</v>
      </c>
      <c r="I6" s="40">
        <v>0</v>
      </c>
      <c r="J6" s="10" t="s">
        <v>72</v>
      </c>
      <c r="K6" s="10" t="s">
        <v>220</v>
      </c>
      <c r="L6" s="12">
        <v>56500</v>
      </c>
      <c r="M6" s="12">
        <v>0</v>
      </c>
      <c r="N6" s="12">
        <v>56500</v>
      </c>
    </row>
    <row r="7" spans="1:15" outlineLevel="2" x14ac:dyDescent="0.25">
      <c r="A7" t="s">
        <v>20</v>
      </c>
      <c r="B7" t="s">
        <v>8</v>
      </c>
      <c r="C7">
        <v>24500</v>
      </c>
      <c r="D7" t="s">
        <v>21</v>
      </c>
      <c r="E7" t="s">
        <v>10</v>
      </c>
      <c r="H7" s="40">
        <v>24500</v>
      </c>
      <c r="I7" s="40">
        <v>0</v>
      </c>
      <c r="L7" s="14"/>
      <c r="M7" s="14"/>
      <c r="N7" s="14"/>
    </row>
    <row r="8" spans="1:15" outlineLevel="2" x14ac:dyDescent="0.25">
      <c r="A8" t="s">
        <v>22</v>
      </c>
      <c r="B8">
        <v>56</v>
      </c>
      <c r="C8">
        <v>50000</v>
      </c>
      <c r="D8" t="s">
        <v>23</v>
      </c>
      <c r="E8" t="s">
        <v>10</v>
      </c>
      <c r="H8" s="40">
        <v>50000</v>
      </c>
      <c r="I8" s="40">
        <v>0</v>
      </c>
    </row>
    <row r="9" spans="1:15" outlineLevel="2" x14ac:dyDescent="0.25">
      <c r="A9" t="s">
        <v>24</v>
      </c>
      <c r="B9" t="s">
        <v>8</v>
      </c>
      <c r="C9">
        <v>12100</v>
      </c>
      <c r="D9" t="s">
        <v>15</v>
      </c>
      <c r="E9" t="s">
        <v>10</v>
      </c>
      <c r="H9" s="40">
        <v>12100</v>
      </c>
      <c r="I9" s="40">
        <v>0</v>
      </c>
    </row>
    <row r="10" spans="1:15" outlineLevel="2" x14ac:dyDescent="0.25">
      <c r="A10" t="s">
        <v>25</v>
      </c>
      <c r="B10" t="s">
        <v>8</v>
      </c>
      <c r="C10">
        <v>20000</v>
      </c>
      <c r="D10" t="s">
        <v>26</v>
      </c>
      <c r="E10" t="s">
        <v>10</v>
      </c>
      <c r="H10" s="40">
        <v>20000</v>
      </c>
      <c r="I10" s="40">
        <v>0</v>
      </c>
    </row>
    <row r="11" spans="1:15" outlineLevel="2" x14ac:dyDescent="0.25">
      <c r="A11" t="s">
        <v>27</v>
      </c>
      <c r="B11" t="s">
        <v>8</v>
      </c>
      <c r="C11">
        <v>13000</v>
      </c>
      <c r="D11" t="s">
        <v>28</v>
      </c>
      <c r="E11" t="s">
        <v>10</v>
      </c>
      <c r="H11" s="40">
        <v>13000</v>
      </c>
      <c r="I11" s="40">
        <v>0</v>
      </c>
    </row>
    <row r="12" spans="1:15" outlineLevel="1" x14ac:dyDescent="0.25">
      <c r="A12" s="1"/>
      <c r="B12" s="1"/>
      <c r="C12" s="1">
        <f>SUBTOTAL(9,C2:C11)</f>
        <v>246600</v>
      </c>
      <c r="D12" s="1"/>
      <c r="E12" s="1" t="s">
        <v>29</v>
      </c>
      <c r="F12" s="1"/>
      <c r="G12" s="1"/>
      <c r="H12" s="40"/>
      <c r="I12" s="40"/>
    </row>
    <row r="13" spans="1:15" outlineLevel="2" x14ac:dyDescent="0.25">
      <c r="A13" t="s">
        <v>30</v>
      </c>
      <c r="B13" t="s">
        <v>8</v>
      </c>
      <c r="C13">
        <v>70000</v>
      </c>
      <c r="D13" t="s">
        <v>31</v>
      </c>
      <c r="E13" t="s">
        <v>32</v>
      </c>
      <c r="H13" s="40">
        <v>0</v>
      </c>
      <c r="I13" s="41">
        <v>70000</v>
      </c>
    </row>
    <row r="14" spans="1:15" outlineLevel="2" x14ac:dyDescent="0.25">
      <c r="A14" t="s">
        <v>33</v>
      </c>
      <c r="B14" t="s">
        <v>12</v>
      </c>
      <c r="C14">
        <v>45000</v>
      </c>
      <c r="D14" t="s">
        <v>34</v>
      </c>
      <c r="E14" t="s">
        <v>32</v>
      </c>
      <c r="H14" s="40">
        <v>0</v>
      </c>
      <c r="I14" s="41">
        <v>45000</v>
      </c>
    </row>
    <row r="15" spans="1:15" outlineLevel="2" x14ac:dyDescent="0.25">
      <c r="A15" t="s">
        <v>35</v>
      </c>
      <c r="B15" t="s">
        <v>8</v>
      </c>
      <c r="C15">
        <v>75000</v>
      </c>
      <c r="D15" t="s">
        <v>36</v>
      </c>
      <c r="E15" t="s">
        <v>32</v>
      </c>
      <c r="H15" s="40">
        <v>0</v>
      </c>
      <c r="I15" s="41">
        <v>75000</v>
      </c>
    </row>
    <row r="16" spans="1:15" outlineLevel="2" x14ac:dyDescent="0.25">
      <c r="A16" t="s">
        <v>37</v>
      </c>
      <c r="B16" t="s">
        <v>8</v>
      </c>
      <c r="C16">
        <v>27500</v>
      </c>
      <c r="D16" t="s">
        <v>38</v>
      </c>
      <c r="E16" t="s">
        <v>32</v>
      </c>
      <c r="H16" s="40">
        <v>0</v>
      </c>
      <c r="I16" s="41">
        <v>27500</v>
      </c>
    </row>
    <row r="17" spans="1:9" outlineLevel="2" x14ac:dyDescent="0.25">
      <c r="A17" t="s">
        <v>39</v>
      </c>
      <c r="B17" t="s">
        <v>8</v>
      </c>
      <c r="C17">
        <v>35000</v>
      </c>
      <c r="D17" t="s">
        <v>40</v>
      </c>
      <c r="E17" t="s">
        <v>32</v>
      </c>
      <c r="H17" s="40">
        <v>0</v>
      </c>
      <c r="I17" s="41">
        <v>35000</v>
      </c>
    </row>
    <row r="18" spans="1:9" outlineLevel="2" x14ac:dyDescent="0.25">
      <c r="A18" t="s">
        <v>41</v>
      </c>
      <c r="B18" t="s">
        <v>12</v>
      </c>
      <c r="C18">
        <v>30000</v>
      </c>
      <c r="D18" t="s">
        <v>42</v>
      </c>
      <c r="E18" t="s">
        <v>32</v>
      </c>
      <c r="H18" s="40">
        <v>0</v>
      </c>
      <c r="I18" s="41">
        <v>30000</v>
      </c>
    </row>
    <row r="19" spans="1:9" outlineLevel="2" x14ac:dyDescent="0.25">
      <c r="A19" t="s">
        <v>43</v>
      </c>
      <c r="B19" t="s">
        <v>12</v>
      </c>
      <c r="C19">
        <v>20000</v>
      </c>
      <c r="D19" t="s">
        <v>44</v>
      </c>
      <c r="E19" t="s">
        <v>32</v>
      </c>
      <c r="F19" t="s">
        <v>45</v>
      </c>
      <c r="H19" s="40">
        <v>0</v>
      </c>
      <c r="I19" s="41">
        <v>20000</v>
      </c>
    </row>
    <row r="20" spans="1:9" outlineLevel="2" x14ac:dyDescent="0.25">
      <c r="A20" t="s">
        <v>46</v>
      </c>
      <c r="B20" t="s">
        <v>8</v>
      </c>
      <c r="C20">
        <v>19000</v>
      </c>
      <c r="D20" t="s">
        <v>47</v>
      </c>
      <c r="E20" t="s">
        <v>32</v>
      </c>
      <c r="H20" s="40">
        <v>0</v>
      </c>
      <c r="I20" s="41">
        <v>19000</v>
      </c>
    </row>
    <row r="21" spans="1:9" outlineLevel="2" x14ac:dyDescent="0.25">
      <c r="A21" t="s">
        <v>48</v>
      </c>
      <c r="B21" t="s">
        <v>8</v>
      </c>
      <c r="C21">
        <v>38000</v>
      </c>
      <c r="D21" t="s">
        <v>49</v>
      </c>
      <c r="E21" t="s">
        <v>32</v>
      </c>
      <c r="H21" s="40">
        <v>0</v>
      </c>
      <c r="I21" s="41">
        <v>38000</v>
      </c>
    </row>
    <row r="22" spans="1:9" outlineLevel="2" x14ac:dyDescent="0.25">
      <c r="A22" t="s">
        <v>50</v>
      </c>
      <c r="B22" t="s">
        <v>8</v>
      </c>
      <c r="C22">
        <v>16000</v>
      </c>
      <c r="D22" t="s">
        <v>51</v>
      </c>
      <c r="E22" t="s">
        <v>32</v>
      </c>
      <c r="H22" s="40">
        <v>0</v>
      </c>
      <c r="I22" s="41">
        <v>16000</v>
      </c>
    </row>
    <row r="23" spans="1:9" outlineLevel="2" x14ac:dyDescent="0.25">
      <c r="A23" t="s">
        <v>52</v>
      </c>
      <c r="B23" t="s">
        <v>12</v>
      </c>
      <c r="C23">
        <v>45000</v>
      </c>
      <c r="D23" t="s">
        <v>53</v>
      </c>
      <c r="E23" t="s">
        <v>32</v>
      </c>
      <c r="H23" s="40">
        <v>0</v>
      </c>
      <c r="I23" s="41">
        <v>45000</v>
      </c>
    </row>
    <row r="24" spans="1:9" outlineLevel="1" x14ac:dyDescent="0.25">
      <c r="A24" s="1"/>
      <c r="B24" s="1"/>
      <c r="C24" s="1">
        <f>SUBTOTAL(9,C13:C23)</f>
        <v>420500</v>
      </c>
      <c r="D24" s="1"/>
      <c r="E24" s="1" t="s">
        <v>54</v>
      </c>
      <c r="F24" s="1"/>
      <c r="G24" s="1"/>
      <c r="H24" s="40"/>
      <c r="I24" s="40"/>
    </row>
    <row r="25" spans="1:9" outlineLevel="2" x14ac:dyDescent="0.25">
      <c r="A25" t="s">
        <v>55</v>
      </c>
      <c r="B25" t="s">
        <v>12</v>
      </c>
      <c r="C25">
        <v>14000</v>
      </c>
      <c r="D25" t="s">
        <v>56</v>
      </c>
      <c r="E25" t="s">
        <v>57</v>
      </c>
      <c r="H25" s="40">
        <v>0</v>
      </c>
      <c r="I25" s="41">
        <v>14000</v>
      </c>
    </row>
    <row r="26" spans="1:9" outlineLevel="2" x14ac:dyDescent="0.25">
      <c r="A26" t="s">
        <v>58</v>
      </c>
      <c r="B26" t="s">
        <v>8</v>
      </c>
      <c r="C26">
        <v>25000</v>
      </c>
      <c r="D26" t="s">
        <v>17</v>
      </c>
      <c r="E26" t="s">
        <v>57</v>
      </c>
      <c r="H26" s="40">
        <v>0</v>
      </c>
      <c r="I26" s="41">
        <v>25000</v>
      </c>
    </row>
    <row r="27" spans="1:9" outlineLevel="2" x14ac:dyDescent="0.25">
      <c r="A27" t="s">
        <v>59</v>
      </c>
      <c r="B27" t="s">
        <v>60</v>
      </c>
      <c r="C27">
        <v>15000</v>
      </c>
      <c r="D27" t="s">
        <v>61</v>
      </c>
      <c r="E27" t="s">
        <v>57</v>
      </c>
      <c r="H27" s="40">
        <v>0</v>
      </c>
      <c r="I27" s="41">
        <v>15000</v>
      </c>
    </row>
    <row r="28" spans="1:9" outlineLevel="2" x14ac:dyDescent="0.25">
      <c r="A28" t="s">
        <v>62</v>
      </c>
      <c r="B28" t="s">
        <v>12</v>
      </c>
      <c r="C28">
        <v>13000</v>
      </c>
      <c r="D28" t="s">
        <v>63</v>
      </c>
      <c r="E28" t="s">
        <v>57</v>
      </c>
      <c r="H28" s="40">
        <v>0</v>
      </c>
      <c r="I28" s="41">
        <v>13000</v>
      </c>
    </row>
    <row r="29" spans="1:9" outlineLevel="1" x14ac:dyDescent="0.25">
      <c r="A29" s="1"/>
      <c r="B29" s="1"/>
      <c r="C29" s="1">
        <f>SUBTOTAL(9,C25:C28)</f>
        <v>67000</v>
      </c>
      <c r="D29" s="1"/>
      <c r="E29" s="1" t="s">
        <v>64</v>
      </c>
      <c r="F29" s="1"/>
      <c r="G29" s="1"/>
      <c r="H29" s="40"/>
      <c r="I29" s="40"/>
    </row>
    <row r="30" spans="1:9" outlineLevel="2" x14ac:dyDescent="0.25">
      <c r="A30" t="s">
        <v>65</v>
      </c>
      <c r="B30" t="s">
        <v>8</v>
      </c>
      <c r="C30">
        <v>27500</v>
      </c>
      <c r="D30" t="s">
        <v>66</v>
      </c>
      <c r="E30" t="s">
        <v>67</v>
      </c>
      <c r="H30" s="40">
        <v>0</v>
      </c>
      <c r="I30" s="41">
        <v>27500</v>
      </c>
    </row>
    <row r="31" spans="1:9" outlineLevel="2" x14ac:dyDescent="0.25">
      <c r="A31" t="s">
        <v>68</v>
      </c>
      <c r="B31" t="s">
        <v>12</v>
      </c>
      <c r="C31">
        <v>25000</v>
      </c>
      <c r="D31" t="s">
        <v>47</v>
      </c>
      <c r="E31" t="s">
        <v>67</v>
      </c>
      <c r="H31" s="40">
        <v>0</v>
      </c>
      <c r="I31" s="41">
        <v>25000</v>
      </c>
    </row>
    <row r="32" spans="1:9" outlineLevel="1" x14ac:dyDescent="0.25">
      <c r="A32" s="1"/>
      <c r="B32" s="1"/>
      <c r="C32" s="1">
        <f>SUBTOTAL(9,C30:C31)</f>
        <v>52500</v>
      </c>
      <c r="D32" s="1"/>
      <c r="E32" s="1" t="s">
        <v>69</v>
      </c>
      <c r="F32" s="1"/>
      <c r="G32" s="1"/>
      <c r="H32" s="40"/>
      <c r="I32" s="40"/>
    </row>
    <row r="33" spans="1:9" outlineLevel="2" x14ac:dyDescent="0.25">
      <c r="A33" t="s">
        <v>70</v>
      </c>
      <c r="B33" t="s">
        <v>12</v>
      </c>
      <c r="C33">
        <v>45000</v>
      </c>
      <c r="D33" t="s">
        <v>71</v>
      </c>
      <c r="E33" t="s">
        <v>72</v>
      </c>
      <c r="H33" s="40">
        <v>0</v>
      </c>
      <c r="I33" s="41">
        <v>45000</v>
      </c>
    </row>
    <row r="34" spans="1:9" outlineLevel="2" x14ac:dyDescent="0.25">
      <c r="A34" t="s">
        <v>73</v>
      </c>
      <c r="B34" t="s">
        <v>12</v>
      </c>
      <c r="C34">
        <v>11500</v>
      </c>
      <c r="D34" t="s">
        <v>26</v>
      </c>
      <c r="E34" t="s">
        <v>72</v>
      </c>
      <c r="H34" s="40">
        <v>0</v>
      </c>
      <c r="I34" s="41">
        <v>11500</v>
      </c>
    </row>
    <row r="35" spans="1:9" outlineLevel="1" x14ac:dyDescent="0.25">
      <c r="A35" s="1"/>
      <c r="B35" s="1"/>
      <c r="C35" s="1">
        <f>SUBTOTAL(9,C33:C34)</f>
        <v>56500</v>
      </c>
      <c r="D35" s="1"/>
      <c r="E35" s="1" t="s">
        <v>74</v>
      </c>
      <c r="F35" s="1"/>
      <c r="G35" s="1"/>
      <c r="H35" s="40"/>
      <c r="I35" s="40"/>
    </row>
    <row r="36" spans="1:9" x14ac:dyDescent="0.25">
      <c r="A36" s="1"/>
      <c r="B36" s="1"/>
      <c r="C36" s="1">
        <f>SUBTOTAL(9,C2:C34)</f>
        <v>843100</v>
      </c>
      <c r="D36" s="1"/>
      <c r="E36" s="1" t="s">
        <v>75</v>
      </c>
      <c r="F36" s="1"/>
      <c r="G36" s="1"/>
      <c r="H36" s="40"/>
      <c r="I36" s="40"/>
    </row>
    <row r="37" spans="1:9" outlineLevel="1" x14ac:dyDescent="0.25"/>
  </sheetData>
  <autoFilter ref="A1:M34" xr:uid="{00000000-0009-0000-0000-000000000000}"/>
  <sortState xmlns:xlrd2="http://schemas.microsoft.com/office/spreadsheetml/2017/richdata2" ref="A2:G34">
    <sortCondition ref="E2:E34"/>
  </sortState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C31"/>
  <sheetViews>
    <sheetView zoomScale="85" zoomScaleNormal="85" workbookViewId="0">
      <selection activeCell="J38" sqref="J38"/>
    </sheetView>
  </sheetViews>
  <sheetFormatPr defaultColWidth="11.42578125" defaultRowHeight="15" x14ac:dyDescent="0.25"/>
  <cols>
    <col min="1" max="1" width="22.140625" bestFit="1" customWidth="1"/>
    <col min="2" max="2" width="14.42578125" bestFit="1" customWidth="1"/>
    <col min="3" max="3" width="13.7109375" style="6" bestFit="1" customWidth="1"/>
    <col min="4" max="4" width="19.42578125" style="6" bestFit="1" customWidth="1"/>
    <col min="5" max="5" width="10.85546875" style="6" customWidth="1"/>
    <col min="6" max="7" width="9.85546875" customWidth="1"/>
    <col min="8" max="8" width="10.85546875" customWidth="1"/>
    <col min="9" max="13" width="12.42578125" customWidth="1"/>
    <col min="14" max="15" width="13.5703125" customWidth="1"/>
    <col min="17" max="17" width="19.42578125" bestFit="1" customWidth="1"/>
    <col min="18" max="18" width="13.7109375" bestFit="1" customWidth="1"/>
    <col min="19" max="19" width="15.7109375" bestFit="1" customWidth="1"/>
    <col min="26" max="26" width="11.42578125" customWidth="1"/>
  </cols>
  <sheetData>
    <row r="1" spans="1:29" s="3" customFormat="1" x14ac:dyDescent="0.25">
      <c r="A1" s="33" t="s">
        <v>78</v>
      </c>
      <c r="B1" s="33" t="s">
        <v>84</v>
      </c>
      <c r="C1" s="33" t="s">
        <v>230</v>
      </c>
      <c r="D1" s="33" t="s">
        <v>76</v>
      </c>
      <c r="E1" s="33" t="s">
        <v>236</v>
      </c>
      <c r="F1" s="33" t="s">
        <v>85</v>
      </c>
      <c r="G1" s="33" t="s">
        <v>79</v>
      </c>
      <c r="H1" s="33" t="s">
        <v>86</v>
      </c>
      <c r="I1" s="33" t="s">
        <v>79</v>
      </c>
      <c r="J1" s="33" t="s">
        <v>76</v>
      </c>
      <c r="K1" s="33" t="s">
        <v>234</v>
      </c>
      <c r="L1" s="33" t="s">
        <v>79</v>
      </c>
      <c r="M1" s="33" t="s">
        <v>76</v>
      </c>
      <c r="N1" s="33" t="s">
        <v>87</v>
      </c>
      <c r="O1" s="33" t="s">
        <v>79</v>
      </c>
      <c r="P1" s="33" t="s">
        <v>88</v>
      </c>
      <c r="Q1" s="42" t="s">
        <v>76</v>
      </c>
      <c r="R1" s="42" t="s">
        <v>79</v>
      </c>
      <c r="S1" s="42" t="s">
        <v>246</v>
      </c>
      <c r="T1" s="33" t="s">
        <v>76</v>
      </c>
      <c r="U1" s="33" t="s">
        <v>79</v>
      </c>
      <c r="V1" s="33" t="s">
        <v>90</v>
      </c>
      <c r="W1" s="33" t="s">
        <v>79</v>
      </c>
      <c r="X1" s="33" t="s">
        <v>76</v>
      </c>
      <c r="Y1" s="33" t="s">
        <v>214</v>
      </c>
      <c r="Z1" s="33" t="s">
        <v>91</v>
      </c>
      <c r="AA1" s="33" t="s">
        <v>79</v>
      </c>
      <c r="AB1" s="33" t="s">
        <v>92</v>
      </c>
      <c r="AC1" s="33" t="s">
        <v>93</v>
      </c>
    </row>
    <row r="2" spans="1:29" s="3" customFormat="1" ht="18.75" x14ac:dyDescent="0.25">
      <c r="A2" s="45" t="s">
        <v>237</v>
      </c>
      <c r="B2" s="45"/>
      <c r="C2" s="45"/>
      <c r="D2" s="34"/>
      <c r="E2" s="34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</row>
    <row r="3" spans="1:29" x14ac:dyDescent="0.25">
      <c r="A3" s="18" t="s">
        <v>94</v>
      </c>
      <c r="B3" s="18">
        <v>9500</v>
      </c>
      <c r="C3" s="19"/>
      <c r="D3" s="20">
        <v>46240</v>
      </c>
      <c r="E3" s="19" t="s">
        <v>198</v>
      </c>
      <c r="F3" s="21" t="s">
        <v>95</v>
      </c>
      <c r="G3" s="21">
        <v>64700</v>
      </c>
      <c r="H3" s="21" t="s">
        <v>96</v>
      </c>
      <c r="I3" s="21">
        <v>8000</v>
      </c>
      <c r="J3" s="22">
        <v>46242</v>
      </c>
      <c r="K3" s="21" t="s">
        <v>235</v>
      </c>
      <c r="L3" s="21">
        <v>35770</v>
      </c>
      <c r="M3" s="22">
        <v>46242</v>
      </c>
      <c r="N3" s="21"/>
      <c r="O3" s="21" t="s">
        <v>97</v>
      </c>
      <c r="P3" s="21" t="s">
        <v>199</v>
      </c>
      <c r="Q3" s="22">
        <v>46235</v>
      </c>
      <c r="R3" s="21">
        <v>4300</v>
      </c>
      <c r="S3" s="21" t="s">
        <v>96</v>
      </c>
      <c r="T3" s="21"/>
      <c r="U3" s="21"/>
      <c r="V3" s="21" t="s">
        <v>98</v>
      </c>
      <c r="W3" s="21">
        <v>3000</v>
      </c>
      <c r="X3" s="21"/>
      <c r="Y3" s="21"/>
      <c r="Z3" s="21" t="s">
        <v>99</v>
      </c>
      <c r="AA3" s="21">
        <v>3500</v>
      </c>
      <c r="AB3" s="23">
        <v>344883</v>
      </c>
      <c r="AC3" s="21" t="s">
        <v>100</v>
      </c>
    </row>
    <row r="4" spans="1:29" x14ac:dyDescent="0.25">
      <c r="A4" s="18" t="s">
        <v>101</v>
      </c>
      <c r="B4" s="18">
        <v>10500</v>
      </c>
      <c r="C4" s="19" t="s">
        <v>102</v>
      </c>
      <c r="D4" s="20">
        <v>46240</v>
      </c>
      <c r="E4" s="19" t="s">
        <v>198</v>
      </c>
      <c r="F4" s="21" t="s">
        <v>103</v>
      </c>
      <c r="G4" s="21">
        <v>78280</v>
      </c>
      <c r="H4" s="21" t="s">
        <v>104</v>
      </c>
      <c r="I4" s="21">
        <v>14000</v>
      </c>
      <c r="J4" s="21"/>
      <c r="K4" s="21"/>
      <c r="L4" s="21"/>
      <c r="M4" s="21"/>
      <c r="N4" s="21"/>
      <c r="O4" s="21"/>
      <c r="P4" s="21"/>
      <c r="Q4" s="21"/>
      <c r="R4" s="21"/>
      <c r="S4" s="21" t="s">
        <v>105</v>
      </c>
      <c r="T4" s="21"/>
      <c r="U4" s="21"/>
      <c r="V4" s="21" t="s">
        <v>106</v>
      </c>
      <c r="W4" s="21">
        <v>9000</v>
      </c>
      <c r="X4" s="21"/>
      <c r="Y4" s="21"/>
      <c r="Z4" s="21" t="s">
        <v>107</v>
      </c>
      <c r="AA4" s="21">
        <v>4000</v>
      </c>
      <c r="AB4" s="24">
        <v>164240</v>
      </c>
      <c r="AC4" s="21" t="s">
        <v>108</v>
      </c>
    </row>
    <row r="5" spans="1:29" x14ac:dyDescent="0.25">
      <c r="A5" s="18" t="s">
        <v>109</v>
      </c>
      <c r="B5" s="18">
        <v>10500</v>
      </c>
      <c r="C5" s="19"/>
      <c r="D5" s="20">
        <v>46240</v>
      </c>
      <c r="E5" s="19" t="s">
        <v>198</v>
      </c>
      <c r="F5" s="21" t="s">
        <v>110</v>
      </c>
      <c r="G5" s="21">
        <v>14640</v>
      </c>
      <c r="H5" s="21" t="s">
        <v>111</v>
      </c>
      <c r="I5" s="21">
        <v>22000</v>
      </c>
      <c r="J5" s="21"/>
      <c r="K5" s="21"/>
      <c r="L5" s="21"/>
      <c r="M5" s="21"/>
      <c r="N5" s="21"/>
      <c r="O5" s="21"/>
      <c r="P5" s="21"/>
      <c r="Q5" s="21"/>
      <c r="R5" s="21"/>
      <c r="S5" s="21" t="s">
        <v>112</v>
      </c>
      <c r="T5" s="21"/>
      <c r="U5" s="21"/>
      <c r="V5" s="21" t="s">
        <v>113</v>
      </c>
      <c r="W5" s="21"/>
      <c r="X5" s="22">
        <v>46239</v>
      </c>
      <c r="Y5" s="21" t="s">
        <v>12</v>
      </c>
      <c r="Z5" s="21" t="s">
        <v>215</v>
      </c>
      <c r="AA5" s="21">
        <v>4000</v>
      </c>
      <c r="AB5" s="21">
        <v>52000</v>
      </c>
      <c r="AC5" s="21" t="s">
        <v>114</v>
      </c>
    </row>
    <row r="6" spans="1:29" x14ac:dyDescent="0.25">
      <c r="A6" s="18" t="s">
        <v>25</v>
      </c>
      <c r="B6" s="18">
        <v>12500</v>
      </c>
      <c r="C6" s="19"/>
      <c r="D6" s="20">
        <v>46235</v>
      </c>
      <c r="E6" s="19" t="s">
        <v>198</v>
      </c>
      <c r="F6" s="21" t="s">
        <v>115</v>
      </c>
      <c r="G6" s="21">
        <v>6840</v>
      </c>
      <c r="H6" s="21" t="s">
        <v>116</v>
      </c>
      <c r="I6" s="21">
        <v>8000</v>
      </c>
      <c r="J6" s="21"/>
      <c r="K6" s="21"/>
      <c r="L6" s="21"/>
      <c r="M6" s="21"/>
      <c r="N6" s="21"/>
      <c r="O6" s="21"/>
      <c r="P6" s="21"/>
      <c r="Q6" s="21"/>
      <c r="R6" s="21"/>
      <c r="S6" s="21" t="s">
        <v>115</v>
      </c>
      <c r="T6" s="21"/>
      <c r="U6" s="21"/>
      <c r="V6" s="21"/>
      <c r="W6" s="21"/>
      <c r="X6" s="21"/>
      <c r="Y6" s="21"/>
      <c r="Z6" s="21"/>
      <c r="AA6" s="21"/>
      <c r="AB6" s="21">
        <f>SUM(AB3:AB5)</f>
        <v>561123</v>
      </c>
      <c r="AC6" s="21" t="s">
        <v>117</v>
      </c>
    </row>
    <row r="7" spans="1:29" x14ac:dyDescent="0.25">
      <c r="A7" s="24" t="s">
        <v>118</v>
      </c>
      <c r="B7" s="24">
        <v>8500</v>
      </c>
      <c r="C7" s="19" t="s">
        <v>119</v>
      </c>
      <c r="D7" s="20">
        <v>46239</v>
      </c>
      <c r="E7" s="19" t="s">
        <v>198</v>
      </c>
      <c r="F7" s="21" t="s">
        <v>120</v>
      </c>
      <c r="G7" s="21"/>
      <c r="H7" s="21"/>
      <c r="I7" s="24">
        <f>SUM(I3:I6)</f>
        <v>52000</v>
      </c>
      <c r="J7" s="24"/>
      <c r="K7" s="24"/>
      <c r="L7" s="24"/>
      <c r="M7" s="24"/>
      <c r="N7" s="21"/>
      <c r="O7" s="21"/>
      <c r="P7" s="21"/>
      <c r="Q7" s="21"/>
      <c r="R7" s="21"/>
      <c r="S7" s="21" t="s">
        <v>121</v>
      </c>
      <c r="T7" s="22">
        <v>46235</v>
      </c>
      <c r="U7" s="21">
        <v>1000</v>
      </c>
      <c r="V7" s="21"/>
      <c r="W7" s="21"/>
      <c r="X7" s="21"/>
      <c r="Y7" s="21"/>
      <c r="Z7" s="21"/>
      <c r="AA7" s="21"/>
      <c r="AB7" s="21"/>
      <c r="AC7" s="21" t="s">
        <v>116</v>
      </c>
    </row>
    <row r="8" spans="1:29" x14ac:dyDescent="0.25">
      <c r="A8" s="24" t="s">
        <v>122</v>
      </c>
      <c r="B8" s="24">
        <v>3000</v>
      </c>
      <c r="C8" s="19"/>
      <c r="D8" s="20">
        <v>49892</v>
      </c>
      <c r="E8" s="19" t="s">
        <v>198</v>
      </c>
      <c r="F8" s="21"/>
      <c r="G8" s="24">
        <f>SUM(G3:G7)</f>
        <v>164460</v>
      </c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 t="s">
        <v>123</v>
      </c>
      <c r="T8" s="21"/>
      <c r="U8" s="21"/>
      <c r="V8" s="21"/>
      <c r="W8" s="21"/>
      <c r="X8" s="21"/>
      <c r="Y8" s="21"/>
      <c r="Z8" s="21"/>
      <c r="AA8" s="21"/>
      <c r="AB8" s="21"/>
      <c r="AC8" s="21" t="s">
        <v>124</v>
      </c>
    </row>
    <row r="9" spans="1:29" x14ac:dyDescent="0.25">
      <c r="A9" s="25" t="s">
        <v>125</v>
      </c>
      <c r="B9" s="25">
        <v>14000</v>
      </c>
      <c r="C9" s="19"/>
      <c r="D9" s="20">
        <v>46235</v>
      </c>
      <c r="E9" s="19" t="s">
        <v>198</v>
      </c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6"/>
      <c r="T9" s="21"/>
      <c r="U9" s="21"/>
      <c r="V9" s="21"/>
      <c r="W9" s="21"/>
      <c r="X9" s="21"/>
      <c r="Y9" s="21"/>
      <c r="Z9" s="21"/>
      <c r="AA9" s="21"/>
      <c r="AB9" s="21"/>
      <c r="AC9" s="21"/>
    </row>
    <row r="10" spans="1:29" x14ac:dyDescent="0.25">
      <c r="A10" s="25" t="s">
        <v>126</v>
      </c>
      <c r="B10" s="25">
        <v>13000</v>
      </c>
      <c r="C10" s="19" t="s">
        <v>127</v>
      </c>
      <c r="D10" s="20">
        <v>46235</v>
      </c>
      <c r="E10" s="19" t="s">
        <v>198</v>
      </c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 t="s">
        <v>121</v>
      </c>
      <c r="T10" s="22">
        <v>46241</v>
      </c>
      <c r="U10" s="21">
        <v>1500</v>
      </c>
      <c r="V10" s="21"/>
      <c r="W10" s="21"/>
      <c r="X10" s="21"/>
      <c r="Y10" s="21"/>
      <c r="Z10" s="21"/>
      <c r="AA10" s="21"/>
      <c r="AB10" s="21"/>
      <c r="AC10" s="21"/>
    </row>
    <row r="11" spans="1:29" x14ac:dyDescent="0.25">
      <c r="A11" s="25" t="s">
        <v>128</v>
      </c>
      <c r="B11" s="25">
        <v>10500</v>
      </c>
      <c r="C11" s="19"/>
      <c r="D11" s="20">
        <v>46239</v>
      </c>
      <c r="E11" s="19" t="s">
        <v>198</v>
      </c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</row>
    <row r="12" spans="1:29" x14ac:dyDescent="0.25">
      <c r="A12" s="27" t="s">
        <v>129</v>
      </c>
      <c r="B12" s="27">
        <v>10500</v>
      </c>
      <c r="C12" s="19" t="s">
        <v>8</v>
      </c>
      <c r="D12" s="19"/>
      <c r="E12" s="19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</row>
    <row r="13" spans="1:29" x14ac:dyDescent="0.25">
      <c r="A13" s="28" t="s">
        <v>130</v>
      </c>
      <c r="B13" s="28">
        <v>9000</v>
      </c>
      <c r="C13" s="19"/>
      <c r="D13" s="20">
        <v>46239</v>
      </c>
      <c r="E13" s="19" t="s">
        <v>198</v>
      </c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</row>
    <row r="14" spans="1:29" x14ac:dyDescent="0.25">
      <c r="A14" s="28" t="s">
        <v>131</v>
      </c>
      <c r="B14" s="28">
        <v>8750</v>
      </c>
      <c r="C14" s="19">
        <v>56</v>
      </c>
      <c r="D14" s="20">
        <v>46239</v>
      </c>
      <c r="E14" s="19" t="s">
        <v>198</v>
      </c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</row>
    <row r="15" spans="1:29" x14ac:dyDescent="0.25">
      <c r="A15" s="29" t="s">
        <v>132</v>
      </c>
      <c r="B15" s="29">
        <v>5000</v>
      </c>
      <c r="C15" s="19" t="s">
        <v>12</v>
      </c>
      <c r="D15" s="20">
        <v>46244</v>
      </c>
      <c r="E15" s="19" t="s">
        <v>198</v>
      </c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</row>
    <row r="16" spans="1:29" x14ac:dyDescent="0.25">
      <c r="A16" s="29" t="s">
        <v>133</v>
      </c>
      <c r="B16" s="29">
        <v>10000</v>
      </c>
      <c r="C16" s="19" t="s">
        <v>12</v>
      </c>
      <c r="D16" s="20">
        <v>46244</v>
      </c>
      <c r="E16" s="19" t="s">
        <v>198</v>
      </c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</row>
    <row r="17" spans="1:29" x14ac:dyDescent="0.25">
      <c r="A17" s="21" t="s">
        <v>134</v>
      </c>
      <c r="B17" s="21">
        <v>11000</v>
      </c>
      <c r="C17" s="19" t="s">
        <v>135</v>
      </c>
      <c r="D17" s="20">
        <v>46235</v>
      </c>
      <c r="E17" s="19" t="s">
        <v>198</v>
      </c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</row>
    <row r="18" spans="1:29" x14ac:dyDescent="0.25">
      <c r="A18" s="21" t="s">
        <v>136</v>
      </c>
      <c r="B18" s="21">
        <v>5000</v>
      </c>
      <c r="C18" s="19" t="s">
        <v>135</v>
      </c>
      <c r="D18" s="20">
        <v>46239</v>
      </c>
      <c r="E18" s="19" t="s">
        <v>198</v>
      </c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</row>
    <row r="19" spans="1:29" x14ac:dyDescent="0.25">
      <c r="A19" s="21" t="s">
        <v>137</v>
      </c>
      <c r="B19" s="21">
        <v>11000</v>
      </c>
      <c r="C19" s="19" t="s">
        <v>135</v>
      </c>
      <c r="D19" s="30">
        <v>46235</v>
      </c>
      <c r="E19" s="19" t="s">
        <v>198</v>
      </c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</row>
    <row r="20" spans="1:29" x14ac:dyDescent="0.25">
      <c r="A20" s="21" t="s">
        <v>138</v>
      </c>
      <c r="B20" s="21">
        <v>50000</v>
      </c>
      <c r="C20" s="19"/>
      <c r="D20" s="19"/>
      <c r="E20" s="19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</row>
    <row r="21" spans="1:29" x14ac:dyDescent="0.25">
      <c r="A21" s="21" t="s">
        <v>139</v>
      </c>
      <c r="B21" s="31">
        <v>1600</v>
      </c>
      <c r="C21" s="19"/>
      <c r="D21" s="20">
        <v>46242</v>
      </c>
      <c r="E21" s="19" t="s">
        <v>198</v>
      </c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</row>
    <row r="22" spans="1:29" x14ac:dyDescent="0.25">
      <c r="A22" s="21" t="s">
        <v>140</v>
      </c>
      <c r="B22" s="21">
        <v>23000</v>
      </c>
      <c r="C22" s="19"/>
      <c r="D22" s="20">
        <v>46235</v>
      </c>
      <c r="E22" s="19" t="s">
        <v>198</v>
      </c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</row>
    <row r="23" spans="1:29" x14ac:dyDescent="0.25">
      <c r="A23" s="21" t="s">
        <v>233</v>
      </c>
      <c r="B23" s="21"/>
      <c r="C23" s="19" t="s">
        <v>141</v>
      </c>
      <c r="D23" s="20">
        <v>46242</v>
      </c>
      <c r="E23" s="19" t="s">
        <v>198</v>
      </c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</row>
    <row r="24" spans="1:29" x14ac:dyDescent="0.25">
      <c r="A24" s="21" t="s">
        <v>200</v>
      </c>
      <c r="B24" s="21">
        <v>10000</v>
      </c>
      <c r="C24" s="19"/>
      <c r="D24" s="20">
        <v>46235</v>
      </c>
      <c r="E24" s="19" t="s">
        <v>198</v>
      </c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</row>
    <row r="25" spans="1:29" x14ac:dyDescent="0.25">
      <c r="A25" s="21" t="s">
        <v>231</v>
      </c>
      <c r="B25" s="21">
        <v>21000</v>
      </c>
      <c r="C25" s="19" t="s">
        <v>8</v>
      </c>
      <c r="D25" s="19"/>
      <c r="E25" s="19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</row>
    <row r="26" spans="1:29" x14ac:dyDescent="0.25">
      <c r="A26" s="21" t="s">
        <v>232</v>
      </c>
      <c r="B26" s="21">
        <v>5000</v>
      </c>
      <c r="C26" s="19" t="s">
        <v>8</v>
      </c>
      <c r="D26" s="19"/>
      <c r="E26" s="19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</row>
    <row r="27" spans="1:29" x14ac:dyDescent="0.25">
      <c r="A27" s="21" t="s">
        <v>244</v>
      </c>
      <c r="B27" s="21">
        <f>SUM(B3:B26)</f>
        <v>272850</v>
      </c>
      <c r="C27" s="19"/>
      <c r="D27" s="19"/>
      <c r="E27" s="19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</row>
    <row r="28" spans="1:29" x14ac:dyDescent="0.25">
      <c r="A28" s="21"/>
      <c r="B28" s="21"/>
      <c r="C28" s="19"/>
      <c r="D28" s="19"/>
      <c r="E28" s="19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</row>
    <row r="29" spans="1:29" x14ac:dyDescent="0.25">
      <c r="A29" s="21"/>
      <c r="B29" s="21"/>
      <c r="C29" s="19"/>
      <c r="D29" s="19"/>
      <c r="E29" s="19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</row>
    <row r="30" spans="1:29" x14ac:dyDescent="0.25">
      <c r="A30" s="42" t="s">
        <v>245</v>
      </c>
      <c r="B30" s="42" t="s">
        <v>194</v>
      </c>
      <c r="C30" s="42" t="s">
        <v>243</v>
      </c>
      <c r="D30" s="42" t="s">
        <v>242</v>
      </c>
      <c r="E30" s="19"/>
      <c r="F30" s="21"/>
      <c r="G30" s="21"/>
      <c r="H30" s="21"/>
      <c r="I30" s="21"/>
      <c r="J30" s="32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</row>
    <row r="31" spans="1:29" x14ac:dyDescent="0.25">
      <c r="A31" s="43">
        <v>246600</v>
      </c>
      <c r="B31" s="43">
        <v>186350</v>
      </c>
      <c r="C31" s="43">
        <v>86500</v>
      </c>
      <c r="D31" s="44">
        <v>60250</v>
      </c>
      <c r="G31" s="17"/>
    </row>
  </sheetData>
  <autoFilter ref="A1:G1" xr:uid="{00000000-0009-0000-0000-000001000000}"/>
  <mergeCells count="1">
    <mergeCell ref="A2:C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9ECEB-E7F9-47EF-8187-8FF50B0977BF}">
  <sheetPr codeName="Sheet4"/>
  <dimension ref="A1:AC32"/>
  <sheetViews>
    <sheetView tabSelected="1" zoomScaleNormal="100" workbookViewId="0">
      <selection activeCell="G29" sqref="G29"/>
    </sheetView>
  </sheetViews>
  <sheetFormatPr defaultColWidth="11.42578125" defaultRowHeight="15" x14ac:dyDescent="0.25"/>
  <cols>
    <col min="3" max="5" width="10.85546875" style="6" customWidth="1"/>
    <col min="6" max="7" width="9.85546875" customWidth="1"/>
    <col min="8" max="8" width="10.85546875" customWidth="1"/>
    <col min="9" max="13" width="12.42578125" customWidth="1"/>
    <col min="14" max="15" width="13.5703125" customWidth="1"/>
    <col min="26" max="26" width="11.42578125" customWidth="1"/>
  </cols>
  <sheetData>
    <row r="1" spans="1:29" s="3" customFormat="1" x14ac:dyDescent="0.25">
      <c r="A1" s="33" t="s">
        <v>78</v>
      </c>
      <c r="B1" s="33" t="s">
        <v>84</v>
      </c>
      <c r="C1" s="33" t="s">
        <v>230</v>
      </c>
      <c r="D1" s="33" t="s">
        <v>76</v>
      </c>
      <c r="E1" s="33" t="s">
        <v>236</v>
      </c>
      <c r="F1" s="33" t="s">
        <v>85</v>
      </c>
      <c r="G1" s="33" t="s">
        <v>79</v>
      </c>
      <c r="H1" s="33" t="s">
        <v>86</v>
      </c>
      <c r="I1" s="33" t="s">
        <v>79</v>
      </c>
      <c r="J1" s="33" t="s">
        <v>76</v>
      </c>
      <c r="K1" s="33" t="s">
        <v>234</v>
      </c>
      <c r="L1" s="33" t="s">
        <v>79</v>
      </c>
      <c r="M1" s="33" t="s">
        <v>76</v>
      </c>
      <c r="N1" s="33" t="s">
        <v>87</v>
      </c>
      <c r="O1" s="33" t="s">
        <v>79</v>
      </c>
      <c r="P1" s="33" t="s">
        <v>88</v>
      </c>
      <c r="Q1" s="33" t="s">
        <v>76</v>
      </c>
      <c r="R1" s="33" t="s">
        <v>79</v>
      </c>
      <c r="S1" s="33" t="s">
        <v>89</v>
      </c>
      <c r="T1" s="33" t="s">
        <v>76</v>
      </c>
      <c r="U1" s="33" t="s">
        <v>79</v>
      </c>
      <c r="V1" s="33" t="s">
        <v>90</v>
      </c>
      <c r="W1" s="33" t="s">
        <v>79</v>
      </c>
      <c r="X1" s="33" t="s">
        <v>76</v>
      </c>
      <c r="Y1" s="33" t="s">
        <v>214</v>
      </c>
      <c r="Z1" s="33" t="s">
        <v>91</v>
      </c>
      <c r="AA1" s="33" t="s">
        <v>79</v>
      </c>
      <c r="AB1" s="33" t="s">
        <v>92</v>
      </c>
      <c r="AC1" s="33" t="s">
        <v>93</v>
      </c>
    </row>
    <row r="2" spans="1:29" s="3" customFormat="1" ht="18.75" x14ac:dyDescent="0.25">
      <c r="A2" s="45" t="s">
        <v>237</v>
      </c>
      <c r="B2" s="45"/>
      <c r="C2" s="45"/>
      <c r="D2" s="34"/>
      <c r="E2" s="34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</row>
    <row r="3" spans="1:29" x14ac:dyDescent="0.25">
      <c r="A3" s="18" t="s">
        <v>94</v>
      </c>
      <c r="B3" s="18">
        <v>9500</v>
      </c>
      <c r="C3" s="19"/>
      <c r="D3" s="20">
        <v>46240</v>
      </c>
      <c r="E3" s="19" t="s">
        <v>198</v>
      </c>
      <c r="F3" s="21" t="s">
        <v>95</v>
      </c>
      <c r="G3" s="21">
        <v>64700</v>
      </c>
      <c r="H3" s="21" t="s">
        <v>96</v>
      </c>
      <c r="I3" s="21">
        <v>8000</v>
      </c>
      <c r="J3" s="22">
        <v>46242</v>
      </c>
      <c r="K3" s="21" t="s">
        <v>235</v>
      </c>
      <c r="L3" s="21">
        <v>35770</v>
      </c>
      <c r="M3" s="22">
        <v>46242</v>
      </c>
      <c r="N3" s="21"/>
      <c r="O3" s="21" t="s">
        <v>97</v>
      </c>
      <c r="P3" s="21" t="s">
        <v>199</v>
      </c>
      <c r="Q3" s="22">
        <v>46235</v>
      </c>
      <c r="R3" s="21">
        <v>4300</v>
      </c>
      <c r="S3" s="21" t="s">
        <v>96</v>
      </c>
      <c r="T3" s="21"/>
      <c r="U3" s="21"/>
      <c r="V3" s="21" t="s">
        <v>98</v>
      </c>
      <c r="W3" s="21">
        <v>3000</v>
      </c>
      <c r="X3" s="21"/>
      <c r="Y3" s="21"/>
      <c r="Z3" s="21" t="s">
        <v>99</v>
      </c>
      <c r="AA3" s="21">
        <v>3500</v>
      </c>
      <c r="AB3" s="23">
        <v>344883</v>
      </c>
      <c r="AC3" s="21" t="s">
        <v>100</v>
      </c>
    </row>
    <row r="4" spans="1:29" x14ac:dyDescent="0.25">
      <c r="A4" s="18" t="s">
        <v>101</v>
      </c>
      <c r="B4" s="18">
        <v>10500</v>
      </c>
      <c r="C4" s="19" t="s">
        <v>102</v>
      </c>
      <c r="D4" s="20">
        <v>46240</v>
      </c>
      <c r="E4" s="19" t="s">
        <v>198</v>
      </c>
      <c r="F4" s="21" t="s">
        <v>103</v>
      </c>
      <c r="G4" s="21">
        <v>78280</v>
      </c>
      <c r="H4" s="21" t="s">
        <v>104</v>
      </c>
      <c r="I4" s="21">
        <v>14000</v>
      </c>
      <c r="J4" s="21"/>
      <c r="K4" s="21"/>
      <c r="L4" s="21"/>
      <c r="M4" s="21"/>
      <c r="N4" s="21"/>
      <c r="O4" s="21"/>
      <c r="P4" s="21"/>
      <c r="Q4" s="21"/>
      <c r="R4" s="21"/>
      <c r="S4" s="21" t="s">
        <v>105</v>
      </c>
      <c r="T4" s="21"/>
      <c r="U4" s="21"/>
      <c r="V4" s="21" t="s">
        <v>106</v>
      </c>
      <c r="W4" s="21">
        <v>9000</v>
      </c>
      <c r="X4" s="21"/>
      <c r="Y4" s="21"/>
      <c r="Z4" s="21" t="s">
        <v>107</v>
      </c>
      <c r="AA4" s="21">
        <v>4000</v>
      </c>
      <c r="AB4" s="24">
        <v>164240</v>
      </c>
      <c r="AC4" s="21" t="s">
        <v>108</v>
      </c>
    </row>
    <row r="5" spans="1:29" x14ac:dyDescent="0.25">
      <c r="A5" s="18" t="s">
        <v>109</v>
      </c>
      <c r="B5" s="18">
        <v>10500</v>
      </c>
      <c r="C5" s="19"/>
      <c r="D5" s="20">
        <v>46240</v>
      </c>
      <c r="E5" s="19" t="s">
        <v>198</v>
      </c>
      <c r="F5" s="21" t="s">
        <v>110</v>
      </c>
      <c r="G5" s="21">
        <v>14640</v>
      </c>
      <c r="H5" s="21" t="s">
        <v>111</v>
      </c>
      <c r="I5" s="21">
        <v>22000</v>
      </c>
      <c r="J5" s="21"/>
      <c r="K5" s="21"/>
      <c r="L5" s="21"/>
      <c r="M5" s="21"/>
      <c r="N5" s="21"/>
      <c r="O5" s="21"/>
      <c r="P5" s="21"/>
      <c r="Q5" s="21"/>
      <c r="R5" s="21"/>
      <c r="S5" s="21" t="s">
        <v>112</v>
      </c>
      <c r="T5" s="21"/>
      <c r="U5" s="21"/>
      <c r="V5" s="21" t="s">
        <v>113</v>
      </c>
      <c r="W5" s="21"/>
      <c r="X5" s="22">
        <v>46239</v>
      </c>
      <c r="Y5" s="21" t="s">
        <v>12</v>
      </c>
      <c r="Z5" s="21" t="s">
        <v>215</v>
      </c>
      <c r="AA5" s="21">
        <v>4000</v>
      </c>
      <c r="AB5" s="21">
        <v>52000</v>
      </c>
      <c r="AC5" s="21" t="s">
        <v>114</v>
      </c>
    </row>
    <row r="6" spans="1:29" x14ac:dyDescent="0.25">
      <c r="A6" s="18" t="s">
        <v>25</v>
      </c>
      <c r="B6" s="18">
        <v>12500</v>
      </c>
      <c r="C6" s="19"/>
      <c r="D6" s="20">
        <v>46235</v>
      </c>
      <c r="E6" s="19" t="s">
        <v>198</v>
      </c>
      <c r="F6" s="21" t="s">
        <v>115</v>
      </c>
      <c r="G6" s="21">
        <v>6840</v>
      </c>
      <c r="H6" s="21" t="s">
        <v>116</v>
      </c>
      <c r="I6" s="21">
        <v>8000</v>
      </c>
      <c r="J6" s="21"/>
      <c r="K6" s="21"/>
      <c r="L6" s="21"/>
      <c r="M6" s="21"/>
      <c r="N6" s="21"/>
      <c r="O6" s="21"/>
      <c r="P6" s="21"/>
      <c r="Q6" s="21"/>
      <c r="R6" s="21"/>
      <c r="S6" s="21" t="s">
        <v>115</v>
      </c>
      <c r="T6" s="21"/>
      <c r="U6" s="21"/>
      <c r="V6" s="21"/>
      <c r="W6" s="21"/>
      <c r="X6" s="21"/>
      <c r="Y6" s="21"/>
      <c r="Z6" s="21"/>
      <c r="AA6" s="21"/>
      <c r="AB6" s="21">
        <f>SUM(AB3:AB5)</f>
        <v>561123</v>
      </c>
      <c r="AC6" s="21" t="s">
        <v>117</v>
      </c>
    </row>
    <row r="7" spans="1:29" x14ac:dyDescent="0.25">
      <c r="A7" s="24" t="s">
        <v>118</v>
      </c>
      <c r="B7" s="24">
        <v>8500</v>
      </c>
      <c r="C7" s="19" t="s">
        <v>119</v>
      </c>
      <c r="D7" s="20">
        <v>46239</v>
      </c>
      <c r="E7" s="19" t="s">
        <v>198</v>
      </c>
      <c r="F7" s="21" t="s">
        <v>120</v>
      </c>
      <c r="G7" s="21"/>
      <c r="H7" s="21"/>
      <c r="I7" s="24">
        <f>SUM(I3:I6)</f>
        <v>52000</v>
      </c>
      <c r="J7" s="24"/>
      <c r="K7" s="24"/>
      <c r="L7" s="24"/>
      <c r="M7" s="24"/>
      <c r="N7" s="21"/>
      <c r="O7" s="21"/>
      <c r="P7" s="21"/>
      <c r="Q7" s="21"/>
      <c r="R7" s="21"/>
      <c r="S7" s="21" t="s">
        <v>121</v>
      </c>
      <c r="T7" s="22">
        <v>46235</v>
      </c>
      <c r="U7" s="21">
        <v>1000</v>
      </c>
      <c r="V7" s="21"/>
      <c r="W7" s="21"/>
      <c r="X7" s="21"/>
      <c r="Y7" s="21"/>
      <c r="Z7" s="21"/>
      <c r="AA7" s="21"/>
      <c r="AB7" s="21"/>
      <c r="AC7" s="21" t="s">
        <v>116</v>
      </c>
    </row>
    <row r="8" spans="1:29" x14ac:dyDescent="0.25">
      <c r="A8" s="24" t="s">
        <v>122</v>
      </c>
      <c r="B8" s="24">
        <v>3000</v>
      </c>
      <c r="C8" s="19"/>
      <c r="D8" s="20">
        <v>49892</v>
      </c>
      <c r="E8" s="19" t="s">
        <v>198</v>
      </c>
      <c r="F8" s="21"/>
      <c r="G8" s="24">
        <f>SUM(G3:G7)</f>
        <v>164460</v>
      </c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 t="s">
        <v>123</v>
      </c>
      <c r="T8" s="21"/>
      <c r="U8" s="21"/>
      <c r="V8" s="21"/>
      <c r="W8" s="21"/>
      <c r="X8" s="21"/>
      <c r="Y8" s="21"/>
      <c r="Z8" s="21"/>
      <c r="AA8" s="21"/>
      <c r="AB8" s="21"/>
      <c r="AC8" s="21" t="s">
        <v>124</v>
      </c>
    </row>
    <row r="9" spans="1:29" x14ac:dyDescent="0.25">
      <c r="A9" s="25" t="s">
        <v>125</v>
      </c>
      <c r="B9" s="25">
        <v>14000</v>
      </c>
      <c r="C9" s="19"/>
      <c r="D9" s="20">
        <v>46235</v>
      </c>
      <c r="E9" s="19" t="s">
        <v>198</v>
      </c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6"/>
      <c r="T9" s="21"/>
      <c r="U9" s="21"/>
      <c r="V9" s="21"/>
      <c r="W9" s="21"/>
      <c r="X9" s="21"/>
      <c r="Y9" s="21"/>
      <c r="Z9" s="21"/>
      <c r="AA9" s="21"/>
      <c r="AB9" s="21"/>
      <c r="AC9" s="21"/>
    </row>
    <row r="10" spans="1:29" x14ac:dyDescent="0.25">
      <c r="A10" s="25" t="s">
        <v>126</v>
      </c>
      <c r="B10" s="25">
        <v>13000</v>
      </c>
      <c r="C10" s="19" t="s">
        <v>127</v>
      </c>
      <c r="D10" s="20">
        <v>46235</v>
      </c>
      <c r="E10" s="19" t="s">
        <v>198</v>
      </c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 t="s">
        <v>121</v>
      </c>
      <c r="T10" s="22">
        <v>46241</v>
      </c>
      <c r="U10" s="21">
        <v>1500</v>
      </c>
      <c r="V10" s="21"/>
      <c r="W10" s="21"/>
      <c r="X10" s="21"/>
      <c r="Y10" s="21"/>
      <c r="Z10" s="21"/>
      <c r="AA10" s="21"/>
      <c r="AB10" s="21"/>
      <c r="AC10" s="21"/>
    </row>
    <row r="11" spans="1:29" x14ac:dyDescent="0.25">
      <c r="A11" s="25" t="s">
        <v>128</v>
      </c>
      <c r="B11" s="25">
        <v>10500</v>
      </c>
      <c r="C11" s="19"/>
      <c r="D11" s="20">
        <v>46239</v>
      </c>
      <c r="E11" s="19" t="s">
        <v>198</v>
      </c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</row>
    <row r="12" spans="1:29" x14ac:dyDescent="0.25">
      <c r="A12" s="27" t="s">
        <v>129</v>
      </c>
      <c r="B12" s="27">
        <v>10500</v>
      </c>
      <c r="C12" s="19" t="s">
        <v>8</v>
      </c>
      <c r="D12" s="19"/>
      <c r="E12" s="19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</row>
    <row r="13" spans="1:29" x14ac:dyDescent="0.25">
      <c r="A13" s="28" t="s">
        <v>130</v>
      </c>
      <c r="B13" s="28">
        <v>9000</v>
      </c>
      <c r="C13" s="19"/>
      <c r="D13" s="20">
        <v>46239</v>
      </c>
      <c r="E13" s="19" t="s">
        <v>198</v>
      </c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</row>
    <row r="14" spans="1:29" x14ac:dyDescent="0.25">
      <c r="A14" s="28" t="s">
        <v>131</v>
      </c>
      <c r="B14" s="28">
        <v>8750</v>
      </c>
      <c r="C14" s="19">
        <v>56</v>
      </c>
      <c r="D14" s="20">
        <v>46239</v>
      </c>
      <c r="E14" s="19" t="s">
        <v>198</v>
      </c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</row>
    <row r="15" spans="1:29" x14ac:dyDescent="0.25">
      <c r="A15" s="29" t="s">
        <v>132</v>
      </c>
      <c r="B15" s="29">
        <v>5000</v>
      </c>
      <c r="C15" s="19" t="s">
        <v>12</v>
      </c>
      <c r="D15" s="20">
        <v>46244</v>
      </c>
      <c r="E15" s="19" t="s">
        <v>198</v>
      </c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</row>
    <row r="16" spans="1:29" x14ac:dyDescent="0.25">
      <c r="A16" s="29" t="s">
        <v>133</v>
      </c>
      <c r="B16" s="29">
        <v>10000</v>
      </c>
      <c r="C16" s="19" t="s">
        <v>12</v>
      </c>
      <c r="D16" s="20">
        <v>46244</v>
      </c>
      <c r="E16" s="19" t="s">
        <v>198</v>
      </c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</row>
    <row r="17" spans="1:29" x14ac:dyDescent="0.25">
      <c r="A17" s="21" t="s">
        <v>134</v>
      </c>
      <c r="B17" s="21">
        <v>11000</v>
      </c>
      <c r="C17" s="19" t="s">
        <v>135</v>
      </c>
      <c r="D17" s="20">
        <v>46235</v>
      </c>
      <c r="E17" s="19" t="s">
        <v>198</v>
      </c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</row>
    <row r="18" spans="1:29" x14ac:dyDescent="0.25">
      <c r="A18" s="21" t="s">
        <v>136</v>
      </c>
      <c r="B18" s="21">
        <v>5000</v>
      </c>
      <c r="C18" s="19" t="s">
        <v>135</v>
      </c>
      <c r="D18" s="20">
        <v>46239</v>
      </c>
      <c r="E18" s="19" t="s">
        <v>198</v>
      </c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</row>
    <row r="19" spans="1:29" x14ac:dyDescent="0.25">
      <c r="A19" s="21" t="s">
        <v>137</v>
      </c>
      <c r="B19" s="21">
        <v>11000</v>
      </c>
      <c r="C19" s="19" t="s">
        <v>135</v>
      </c>
      <c r="D19" s="30">
        <v>46235</v>
      </c>
      <c r="E19" s="19" t="s">
        <v>198</v>
      </c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</row>
    <row r="20" spans="1:29" x14ac:dyDescent="0.25">
      <c r="A20" s="21" t="s">
        <v>138</v>
      </c>
      <c r="B20" s="21">
        <v>50000</v>
      </c>
      <c r="C20" s="19"/>
      <c r="D20" s="19"/>
      <c r="E20" s="19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</row>
    <row r="21" spans="1:29" x14ac:dyDescent="0.25">
      <c r="A21" s="21" t="s">
        <v>139</v>
      </c>
      <c r="B21" s="31">
        <v>1600</v>
      </c>
      <c r="C21" s="19"/>
      <c r="D21" s="20">
        <v>46242</v>
      </c>
      <c r="E21" s="19" t="s">
        <v>198</v>
      </c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</row>
    <row r="22" spans="1:29" x14ac:dyDescent="0.25">
      <c r="A22" s="21" t="s">
        <v>140</v>
      </c>
      <c r="B22" s="21">
        <v>23000</v>
      </c>
      <c r="C22" s="19"/>
      <c r="D22" s="20">
        <v>46235</v>
      </c>
      <c r="E22" s="19" t="s">
        <v>198</v>
      </c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</row>
    <row r="23" spans="1:29" x14ac:dyDescent="0.25">
      <c r="A23" s="21" t="s">
        <v>233</v>
      </c>
      <c r="B23" s="21"/>
      <c r="C23" s="19" t="s">
        <v>141</v>
      </c>
      <c r="D23" s="20">
        <v>46242</v>
      </c>
      <c r="E23" s="19" t="s">
        <v>198</v>
      </c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</row>
    <row r="24" spans="1:29" x14ac:dyDescent="0.25">
      <c r="A24" s="21" t="s">
        <v>200</v>
      </c>
      <c r="B24" s="21">
        <v>10000</v>
      </c>
      <c r="C24" s="19"/>
      <c r="D24" s="20">
        <v>46235</v>
      </c>
      <c r="E24" s="19" t="s">
        <v>198</v>
      </c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</row>
    <row r="25" spans="1:29" x14ac:dyDescent="0.25">
      <c r="A25" s="21" t="s">
        <v>231</v>
      </c>
      <c r="B25" s="21">
        <v>21000</v>
      </c>
      <c r="C25" s="19" t="s">
        <v>8</v>
      </c>
      <c r="D25" s="19"/>
      <c r="E25" s="19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</row>
    <row r="26" spans="1:29" x14ac:dyDescent="0.25">
      <c r="A26" s="21" t="s">
        <v>232</v>
      </c>
      <c r="B26" s="21">
        <v>5000</v>
      </c>
      <c r="C26" s="19" t="s">
        <v>8</v>
      </c>
      <c r="D26" s="19"/>
      <c r="E26" s="19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</row>
    <row r="27" spans="1:29" x14ac:dyDescent="0.25">
      <c r="A27" s="21" t="s">
        <v>244</v>
      </c>
      <c r="B27" s="21">
        <f>SUM(B3:B26)</f>
        <v>272850</v>
      </c>
      <c r="C27" s="19"/>
      <c r="D27" s="19"/>
      <c r="E27" s="19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</row>
    <row r="28" spans="1:29" x14ac:dyDescent="0.25">
      <c r="A28" s="21"/>
      <c r="B28" s="21"/>
      <c r="C28" s="19"/>
      <c r="D28" s="19"/>
      <c r="E28" s="19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</row>
    <row r="29" spans="1:29" x14ac:dyDescent="0.25">
      <c r="A29" s="21"/>
      <c r="B29" s="21"/>
      <c r="C29" s="19"/>
      <c r="D29" s="19"/>
      <c r="E29" s="19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</row>
    <row r="30" spans="1:29" x14ac:dyDescent="0.25">
      <c r="A30" s="21"/>
      <c r="B30" s="21"/>
      <c r="C30" s="19"/>
      <c r="D30" s="19"/>
      <c r="E30" s="19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</row>
    <row r="31" spans="1:29" x14ac:dyDescent="0.25">
      <c r="A31" s="21"/>
      <c r="B31" s="21"/>
      <c r="C31" s="19"/>
      <c r="D31" s="19"/>
      <c r="E31" s="19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</row>
    <row r="32" spans="1:29" x14ac:dyDescent="0.25">
      <c r="A32" s="21"/>
      <c r="B32" s="21"/>
      <c r="C32" s="19"/>
      <c r="D32" s="19"/>
      <c r="E32" s="19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</row>
  </sheetData>
  <autoFilter ref="A1:G1" xr:uid="{00000000-0009-0000-0000-000001000000}"/>
  <mergeCells count="1">
    <mergeCell ref="A2:C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048576"/>
  <sheetViews>
    <sheetView zoomScale="130" zoomScaleNormal="130" workbookViewId="0">
      <selection sqref="A1:XFD1"/>
    </sheetView>
  </sheetViews>
  <sheetFormatPr defaultColWidth="11.42578125" defaultRowHeight="15" x14ac:dyDescent="0.25"/>
  <sheetData>
    <row r="1" spans="1:6" s="3" customFormat="1" x14ac:dyDescent="0.25">
      <c r="A1" s="3" t="s">
        <v>76</v>
      </c>
      <c r="B1" s="3" t="s">
        <v>77</v>
      </c>
      <c r="C1" s="3" t="s">
        <v>78</v>
      </c>
      <c r="D1" s="3" t="s">
        <v>79</v>
      </c>
      <c r="E1" s="3" t="s">
        <v>80</v>
      </c>
      <c r="F1" s="3" t="s">
        <v>81</v>
      </c>
    </row>
    <row r="2" spans="1:6" x14ac:dyDescent="0.25">
      <c r="A2" s="4">
        <v>46232</v>
      </c>
      <c r="B2" s="5">
        <v>0.625</v>
      </c>
      <c r="C2" t="s">
        <v>39</v>
      </c>
      <c r="D2">
        <v>27500</v>
      </c>
      <c r="E2" t="s">
        <v>67</v>
      </c>
      <c r="F2" t="s">
        <v>82</v>
      </c>
    </row>
    <row r="3" spans="1:6" x14ac:dyDescent="0.25">
      <c r="A3" s="4">
        <v>46233</v>
      </c>
      <c r="B3" s="5">
        <v>0.79166666666666663</v>
      </c>
      <c r="C3" t="s">
        <v>83</v>
      </c>
      <c r="D3">
        <v>30000</v>
      </c>
      <c r="E3" t="s">
        <v>67</v>
      </c>
      <c r="F3" t="s">
        <v>82</v>
      </c>
    </row>
    <row r="4" spans="1:6" x14ac:dyDescent="0.25">
      <c r="C4" t="s">
        <v>73</v>
      </c>
      <c r="E4" t="s">
        <v>67</v>
      </c>
      <c r="F4">
        <v>11500</v>
      </c>
    </row>
    <row r="5" spans="1:6" x14ac:dyDescent="0.25">
      <c r="D5">
        <f>SUM(D2:D4)</f>
        <v>57500</v>
      </c>
    </row>
    <row r="1048576" spans="4:4" x14ac:dyDescent="0.25">
      <c r="D1048576">
        <f>SUM(D2:D1048575)</f>
        <v>115000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G54"/>
  <sheetViews>
    <sheetView showGridLines="0" zoomScale="84" workbookViewId="0">
      <selection activeCell="C2" sqref="C2"/>
    </sheetView>
  </sheetViews>
  <sheetFormatPr defaultColWidth="8.85546875" defaultRowHeight="15" x14ac:dyDescent="0.25"/>
  <cols>
    <col min="1" max="2" width="20.5703125" customWidth="1"/>
    <col min="3" max="7" width="15.5703125" customWidth="1"/>
  </cols>
  <sheetData>
    <row r="1" spans="1:7" ht="30" customHeight="1" x14ac:dyDescent="0.25">
      <c r="B1" s="15" t="s">
        <v>229</v>
      </c>
      <c r="C1" s="16">
        <v>46240</v>
      </c>
    </row>
    <row r="2" spans="1:7" ht="30" customHeight="1" x14ac:dyDescent="0.25"/>
    <row r="3" spans="1:7" x14ac:dyDescent="0.25">
      <c r="A3" t="s">
        <v>221</v>
      </c>
      <c r="B3" t="s">
        <v>222</v>
      </c>
      <c r="C3" t="s">
        <v>223</v>
      </c>
      <c r="D3" t="s">
        <v>224</v>
      </c>
      <c r="E3" t="s">
        <v>142</v>
      </c>
      <c r="F3" t="s">
        <v>143</v>
      </c>
      <c r="G3" t="s">
        <v>216</v>
      </c>
    </row>
    <row r="4" spans="1:7" x14ac:dyDescent="0.25">
      <c r="A4" t="s">
        <v>145</v>
      </c>
      <c r="B4" t="s">
        <v>146</v>
      </c>
    </row>
    <row r="5" spans="1:7" x14ac:dyDescent="0.25">
      <c r="B5" t="s">
        <v>147</v>
      </c>
    </row>
    <row r="6" spans="1:7" x14ac:dyDescent="0.25">
      <c r="B6" t="s">
        <v>148</v>
      </c>
    </row>
    <row r="7" spans="1:7" x14ac:dyDescent="0.25">
      <c r="B7" t="s">
        <v>149</v>
      </c>
    </row>
    <row r="8" spans="1:7" x14ac:dyDescent="0.25">
      <c r="A8" t="s">
        <v>150</v>
      </c>
      <c r="B8" t="s">
        <v>151</v>
      </c>
    </row>
    <row r="9" spans="1:7" x14ac:dyDescent="0.25">
      <c r="B9" t="s">
        <v>152</v>
      </c>
    </row>
    <row r="10" spans="1:7" x14ac:dyDescent="0.25">
      <c r="B10" t="s">
        <v>153</v>
      </c>
    </row>
    <row r="11" spans="1:7" x14ac:dyDescent="0.25">
      <c r="B11" t="s">
        <v>154</v>
      </c>
    </row>
    <row r="12" spans="1:7" x14ac:dyDescent="0.25">
      <c r="B12" t="s">
        <v>155</v>
      </c>
    </row>
    <row r="13" spans="1:7" x14ac:dyDescent="0.25">
      <c r="B13" t="s">
        <v>156</v>
      </c>
    </row>
    <row r="14" spans="1:7" x14ac:dyDescent="0.25">
      <c r="B14" t="s">
        <v>157</v>
      </c>
    </row>
    <row r="15" spans="1:7" x14ac:dyDescent="0.25">
      <c r="B15" t="s">
        <v>158</v>
      </c>
    </row>
    <row r="16" spans="1:7" x14ac:dyDescent="0.25">
      <c r="A16" t="s">
        <v>159</v>
      </c>
      <c r="B16" t="s">
        <v>160</v>
      </c>
    </row>
    <row r="17" spans="1:7" x14ac:dyDescent="0.25">
      <c r="B17" t="s">
        <v>225</v>
      </c>
    </row>
    <row r="18" spans="1:7" x14ac:dyDescent="0.25">
      <c r="B18" t="s">
        <v>227</v>
      </c>
      <c r="C18">
        <v>2</v>
      </c>
      <c r="E18">
        <v>270</v>
      </c>
      <c r="G18">
        <v>540</v>
      </c>
    </row>
    <row r="19" spans="1:7" x14ac:dyDescent="0.25">
      <c r="B19" t="s">
        <v>228</v>
      </c>
    </row>
    <row r="20" spans="1:7" x14ac:dyDescent="0.25">
      <c r="B20" t="s">
        <v>162</v>
      </c>
    </row>
    <row r="21" spans="1:7" x14ac:dyDescent="0.25">
      <c r="B21" t="s">
        <v>163</v>
      </c>
    </row>
    <row r="22" spans="1:7" x14ac:dyDescent="0.25">
      <c r="B22" t="s">
        <v>164</v>
      </c>
      <c r="C22">
        <v>4.2</v>
      </c>
      <c r="E22">
        <v>350</v>
      </c>
      <c r="F22">
        <v>70</v>
      </c>
      <c r="G22">
        <v>1540</v>
      </c>
    </row>
    <row r="23" spans="1:7" x14ac:dyDescent="0.25">
      <c r="A23" t="s">
        <v>165</v>
      </c>
      <c r="B23" t="s">
        <v>144</v>
      </c>
    </row>
    <row r="24" spans="1:7" x14ac:dyDescent="0.25">
      <c r="B24" t="s">
        <v>166</v>
      </c>
    </row>
    <row r="25" spans="1:7" x14ac:dyDescent="0.25">
      <c r="B25" t="s">
        <v>167</v>
      </c>
    </row>
    <row r="26" spans="1:7" x14ac:dyDescent="0.25">
      <c r="B26" t="s">
        <v>168</v>
      </c>
    </row>
    <row r="27" spans="1:7" x14ac:dyDescent="0.25">
      <c r="B27" t="s">
        <v>169</v>
      </c>
    </row>
    <row r="28" spans="1:7" x14ac:dyDescent="0.25">
      <c r="A28" t="s">
        <v>170</v>
      </c>
      <c r="B28" t="s">
        <v>226</v>
      </c>
    </row>
    <row r="29" spans="1:7" x14ac:dyDescent="0.25">
      <c r="B29" t="s">
        <v>172</v>
      </c>
    </row>
    <row r="30" spans="1:7" x14ac:dyDescent="0.25">
      <c r="B30" t="s">
        <v>173</v>
      </c>
    </row>
    <row r="31" spans="1:7" x14ac:dyDescent="0.25">
      <c r="B31" t="s">
        <v>174</v>
      </c>
    </row>
    <row r="32" spans="1:7" x14ac:dyDescent="0.25">
      <c r="B32" t="s">
        <v>175</v>
      </c>
    </row>
    <row r="33" spans="1:2" x14ac:dyDescent="0.25">
      <c r="A33" t="s">
        <v>176</v>
      </c>
      <c r="B33" t="s">
        <v>177</v>
      </c>
    </row>
    <row r="34" spans="1:2" x14ac:dyDescent="0.25">
      <c r="B34" t="s">
        <v>178</v>
      </c>
    </row>
    <row r="35" spans="1:2" x14ac:dyDescent="0.25">
      <c r="B35" t="s">
        <v>179</v>
      </c>
    </row>
    <row r="36" spans="1:2" x14ac:dyDescent="0.25">
      <c r="B36" t="s">
        <v>180</v>
      </c>
    </row>
    <row r="37" spans="1:2" x14ac:dyDescent="0.25">
      <c r="B37" t="s">
        <v>181</v>
      </c>
    </row>
    <row r="38" spans="1:2" x14ac:dyDescent="0.25">
      <c r="B38" t="s">
        <v>182</v>
      </c>
    </row>
    <row r="39" spans="1:2" x14ac:dyDescent="0.25">
      <c r="A39" t="s">
        <v>183</v>
      </c>
      <c r="B39" t="s">
        <v>184</v>
      </c>
    </row>
    <row r="40" spans="1:2" x14ac:dyDescent="0.25">
      <c r="B40" t="s">
        <v>201</v>
      </c>
    </row>
    <row r="41" spans="1:2" x14ac:dyDescent="0.25">
      <c r="B41" t="s">
        <v>202</v>
      </c>
    </row>
    <row r="42" spans="1:2" x14ac:dyDescent="0.25">
      <c r="B42" t="s">
        <v>203</v>
      </c>
    </row>
    <row r="43" spans="1:2" x14ac:dyDescent="0.25">
      <c r="B43" t="s">
        <v>205</v>
      </c>
    </row>
    <row r="44" spans="1:2" x14ac:dyDescent="0.25">
      <c r="A44" t="s">
        <v>185</v>
      </c>
      <c r="B44" t="s">
        <v>186</v>
      </c>
    </row>
    <row r="45" spans="1:2" x14ac:dyDescent="0.25">
      <c r="B45" t="s">
        <v>187</v>
      </c>
    </row>
    <row r="46" spans="1:2" x14ac:dyDescent="0.25">
      <c r="A46" t="s">
        <v>188</v>
      </c>
      <c r="B46" t="s">
        <v>189</v>
      </c>
    </row>
    <row r="47" spans="1:2" x14ac:dyDescent="0.25">
      <c r="B47" t="s">
        <v>190</v>
      </c>
    </row>
    <row r="48" spans="1:2" x14ac:dyDescent="0.25">
      <c r="B48" t="s">
        <v>191</v>
      </c>
    </row>
    <row r="49" spans="1:2" x14ac:dyDescent="0.25">
      <c r="B49" t="s">
        <v>192</v>
      </c>
    </row>
    <row r="50" spans="1:2" x14ac:dyDescent="0.25">
      <c r="A50" t="s">
        <v>207</v>
      </c>
      <c r="B50" t="s">
        <v>208</v>
      </c>
    </row>
    <row r="51" spans="1:2" x14ac:dyDescent="0.25">
      <c r="B51" t="s">
        <v>209</v>
      </c>
    </row>
    <row r="52" spans="1:2" x14ac:dyDescent="0.25">
      <c r="B52" t="s">
        <v>210</v>
      </c>
    </row>
    <row r="53" spans="1:2" x14ac:dyDescent="0.25">
      <c r="A53" t="s">
        <v>212</v>
      </c>
      <c r="B53" t="s">
        <v>211</v>
      </c>
    </row>
    <row r="54" spans="1:2" x14ac:dyDescent="0.25">
      <c r="B54" t="s">
        <v>213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H57"/>
  <sheetViews>
    <sheetView zoomScale="70" zoomScaleNormal="70" workbookViewId="0">
      <selection activeCell="H2" sqref="H2"/>
    </sheetView>
  </sheetViews>
  <sheetFormatPr defaultColWidth="8.85546875" defaultRowHeight="15" x14ac:dyDescent="0.25"/>
  <cols>
    <col min="1" max="1" width="12.5703125" style="4" customWidth="1"/>
    <col min="2" max="3" width="20.5703125" customWidth="1"/>
    <col min="4" max="8" width="12.5703125" customWidth="1"/>
  </cols>
  <sheetData>
    <row r="1" spans="1:8" x14ac:dyDescent="0.25">
      <c r="A1" s="4" t="s">
        <v>76</v>
      </c>
      <c r="B1" t="s">
        <v>221</v>
      </c>
      <c r="C1" t="s">
        <v>222</v>
      </c>
      <c r="D1" t="s">
        <v>223</v>
      </c>
      <c r="E1" t="s">
        <v>224</v>
      </c>
      <c r="F1" t="s">
        <v>142</v>
      </c>
      <c r="G1" t="s">
        <v>143</v>
      </c>
      <c r="H1" t="s">
        <v>216</v>
      </c>
    </row>
    <row r="2" spans="1:8" x14ac:dyDescent="0.25">
      <c r="A2" s="4">
        <v>46239</v>
      </c>
      <c r="B2" t="s">
        <v>144</v>
      </c>
      <c r="G2">
        <v>110</v>
      </c>
    </row>
    <row r="3" spans="1:8" x14ac:dyDescent="0.25">
      <c r="A3" s="4">
        <v>46239</v>
      </c>
      <c r="B3" t="s">
        <v>145</v>
      </c>
      <c r="C3" t="s">
        <v>146</v>
      </c>
    </row>
    <row r="4" spans="1:8" x14ac:dyDescent="0.25">
      <c r="A4" s="4">
        <v>46239</v>
      </c>
      <c r="C4" t="s">
        <v>147</v>
      </c>
    </row>
    <row r="5" spans="1:8" x14ac:dyDescent="0.25">
      <c r="A5" s="4">
        <v>46239</v>
      </c>
      <c r="C5" t="s">
        <v>148</v>
      </c>
    </row>
    <row r="6" spans="1:8" x14ac:dyDescent="0.25">
      <c r="A6" s="4">
        <v>46239</v>
      </c>
      <c r="C6" t="s">
        <v>149</v>
      </c>
    </row>
    <row r="7" spans="1:8" x14ac:dyDescent="0.25">
      <c r="A7" s="4">
        <v>46239</v>
      </c>
      <c r="B7" t="s">
        <v>150</v>
      </c>
      <c r="C7" t="s">
        <v>151</v>
      </c>
    </row>
    <row r="8" spans="1:8" x14ac:dyDescent="0.25">
      <c r="A8" s="4">
        <v>46239</v>
      </c>
      <c r="C8" t="s">
        <v>152</v>
      </c>
    </row>
    <row r="9" spans="1:8" x14ac:dyDescent="0.25">
      <c r="A9" s="4">
        <v>46239</v>
      </c>
      <c r="C9" t="s">
        <v>153</v>
      </c>
    </row>
    <row r="10" spans="1:8" x14ac:dyDescent="0.25">
      <c r="A10" s="4">
        <v>46239</v>
      </c>
      <c r="C10" t="s">
        <v>154</v>
      </c>
    </row>
    <row r="11" spans="1:8" x14ac:dyDescent="0.25">
      <c r="A11" s="4">
        <v>46239</v>
      </c>
      <c r="C11" t="s">
        <v>155</v>
      </c>
    </row>
    <row r="12" spans="1:8" x14ac:dyDescent="0.25">
      <c r="A12" s="4">
        <v>46239</v>
      </c>
      <c r="C12" t="s">
        <v>156</v>
      </c>
    </row>
    <row r="13" spans="1:8" x14ac:dyDescent="0.25">
      <c r="A13" s="4">
        <v>46239</v>
      </c>
      <c r="C13" t="s">
        <v>157</v>
      </c>
    </row>
    <row r="14" spans="1:8" x14ac:dyDescent="0.25">
      <c r="A14" s="4">
        <v>46239</v>
      </c>
      <c r="C14" t="s">
        <v>158</v>
      </c>
    </row>
    <row r="15" spans="1:8" x14ac:dyDescent="0.25">
      <c r="A15" s="4">
        <v>46239</v>
      </c>
      <c r="B15" t="s">
        <v>159</v>
      </c>
      <c r="C15" t="s">
        <v>160</v>
      </c>
      <c r="D15">
        <v>5</v>
      </c>
      <c r="F15">
        <v>400</v>
      </c>
      <c r="H15">
        <v>2000</v>
      </c>
    </row>
    <row r="16" spans="1:8" x14ac:dyDescent="0.25">
      <c r="A16" s="4">
        <v>46239</v>
      </c>
      <c r="C16" t="s">
        <v>161</v>
      </c>
      <c r="D16">
        <v>10</v>
      </c>
      <c r="F16">
        <v>300</v>
      </c>
      <c r="H16">
        <v>3000</v>
      </c>
    </row>
    <row r="17" spans="1:3" x14ac:dyDescent="0.25">
      <c r="A17" s="4">
        <v>46239</v>
      </c>
      <c r="C17" t="s">
        <v>227</v>
      </c>
    </row>
    <row r="18" spans="1:3" x14ac:dyDescent="0.25">
      <c r="A18" s="4">
        <v>46239</v>
      </c>
      <c r="C18" t="s">
        <v>228</v>
      </c>
    </row>
    <row r="19" spans="1:3" x14ac:dyDescent="0.25">
      <c r="A19" s="4">
        <v>46239</v>
      </c>
      <c r="C19" t="s">
        <v>162</v>
      </c>
    </row>
    <row r="20" spans="1:3" x14ac:dyDescent="0.25">
      <c r="A20" s="4">
        <v>46239</v>
      </c>
      <c r="C20" t="s">
        <v>163</v>
      </c>
    </row>
    <row r="21" spans="1:3" x14ac:dyDescent="0.25">
      <c r="A21" s="4">
        <v>46239</v>
      </c>
      <c r="C21" t="s">
        <v>164</v>
      </c>
    </row>
    <row r="22" spans="1:3" x14ac:dyDescent="0.25">
      <c r="A22" s="4">
        <v>46239</v>
      </c>
      <c r="B22" t="s">
        <v>165</v>
      </c>
      <c r="C22" t="s">
        <v>144</v>
      </c>
    </row>
    <row r="23" spans="1:3" x14ac:dyDescent="0.25">
      <c r="A23" s="4">
        <v>46239</v>
      </c>
      <c r="C23" t="s">
        <v>166</v>
      </c>
    </row>
    <row r="24" spans="1:3" x14ac:dyDescent="0.25">
      <c r="A24" s="4">
        <v>46239</v>
      </c>
      <c r="C24" t="s">
        <v>167</v>
      </c>
    </row>
    <row r="25" spans="1:3" x14ac:dyDescent="0.25">
      <c r="A25" s="4">
        <v>46239</v>
      </c>
      <c r="C25" t="s">
        <v>168</v>
      </c>
    </row>
    <row r="26" spans="1:3" x14ac:dyDescent="0.25">
      <c r="A26" s="4">
        <v>46239</v>
      </c>
      <c r="C26" t="s">
        <v>169</v>
      </c>
    </row>
    <row r="27" spans="1:3" x14ac:dyDescent="0.25">
      <c r="A27" s="4">
        <v>46239</v>
      </c>
      <c r="B27" t="s">
        <v>170</v>
      </c>
      <c r="C27" t="s">
        <v>171</v>
      </c>
    </row>
    <row r="28" spans="1:3" x14ac:dyDescent="0.25">
      <c r="A28" s="4">
        <v>46239</v>
      </c>
      <c r="C28" t="s">
        <v>172</v>
      </c>
    </row>
    <row r="29" spans="1:3" x14ac:dyDescent="0.25">
      <c r="A29" s="4">
        <v>46239</v>
      </c>
      <c r="C29" t="s">
        <v>173</v>
      </c>
    </row>
    <row r="30" spans="1:3" x14ac:dyDescent="0.25">
      <c r="A30" s="4">
        <v>46239</v>
      </c>
      <c r="C30" t="s">
        <v>174</v>
      </c>
    </row>
    <row r="31" spans="1:3" x14ac:dyDescent="0.25">
      <c r="A31" s="4">
        <v>46239</v>
      </c>
      <c r="C31" t="s">
        <v>175</v>
      </c>
    </row>
    <row r="32" spans="1:3" x14ac:dyDescent="0.25">
      <c r="A32" s="4">
        <v>46239</v>
      </c>
      <c r="B32" t="s">
        <v>176</v>
      </c>
      <c r="C32" t="s">
        <v>177</v>
      </c>
    </row>
    <row r="33" spans="1:8" x14ac:dyDescent="0.25">
      <c r="A33" s="4">
        <v>46239</v>
      </c>
      <c r="C33" t="s">
        <v>178</v>
      </c>
    </row>
    <row r="34" spans="1:8" x14ac:dyDescent="0.25">
      <c r="A34" s="4">
        <v>46239</v>
      </c>
      <c r="C34" t="s">
        <v>179</v>
      </c>
    </row>
    <row r="35" spans="1:8" x14ac:dyDescent="0.25">
      <c r="A35" s="4">
        <v>46239</v>
      </c>
      <c r="C35" t="s">
        <v>180</v>
      </c>
    </row>
    <row r="36" spans="1:8" x14ac:dyDescent="0.25">
      <c r="A36" s="4">
        <v>46239</v>
      </c>
      <c r="C36" t="s">
        <v>181</v>
      </c>
    </row>
    <row r="37" spans="1:8" x14ac:dyDescent="0.25">
      <c r="A37" s="4">
        <v>46239</v>
      </c>
      <c r="C37" t="s">
        <v>182</v>
      </c>
    </row>
    <row r="38" spans="1:8" x14ac:dyDescent="0.25">
      <c r="A38" s="4">
        <v>46239</v>
      </c>
      <c r="B38" t="s">
        <v>183</v>
      </c>
      <c r="C38" t="s">
        <v>184</v>
      </c>
    </row>
    <row r="39" spans="1:8" x14ac:dyDescent="0.25">
      <c r="A39" s="4">
        <v>46239</v>
      </c>
      <c r="C39" t="s">
        <v>201</v>
      </c>
      <c r="D39">
        <v>0.7</v>
      </c>
      <c r="F39">
        <v>400</v>
      </c>
      <c r="H39">
        <v>280</v>
      </c>
    </row>
    <row r="40" spans="1:8" x14ac:dyDescent="0.25">
      <c r="A40" s="4">
        <v>46239</v>
      </c>
      <c r="C40" t="s">
        <v>202</v>
      </c>
      <c r="D40">
        <v>1</v>
      </c>
      <c r="F40">
        <v>220</v>
      </c>
      <c r="H40">
        <v>220</v>
      </c>
    </row>
    <row r="41" spans="1:8" x14ac:dyDescent="0.25">
      <c r="A41" s="4">
        <v>46239</v>
      </c>
      <c r="C41" t="s">
        <v>203</v>
      </c>
      <c r="E41" t="s">
        <v>204</v>
      </c>
      <c r="F41">
        <v>5</v>
      </c>
      <c r="H41">
        <v>45</v>
      </c>
    </row>
    <row r="42" spans="1:8" x14ac:dyDescent="0.25">
      <c r="A42" s="4">
        <v>46239</v>
      </c>
      <c r="C42" t="s">
        <v>205</v>
      </c>
      <c r="E42" t="s">
        <v>206</v>
      </c>
      <c r="F42">
        <v>5</v>
      </c>
      <c r="H42">
        <v>60</v>
      </c>
    </row>
    <row r="43" spans="1:8" x14ac:dyDescent="0.25">
      <c r="A43" s="4">
        <v>46239</v>
      </c>
      <c r="B43" t="s">
        <v>185</v>
      </c>
      <c r="C43" t="s">
        <v>186</v>
      </c>
    </row>
    <row r="44" spans="1:8" x14ac:dyDescent="0.25">
      <c r="A44" s="4">
        <v>46239</v>
      </c>
      <c r="C44" t="s">
        <v>187</v>
      </c>
    </row>
    <row r="45" spans="1:8" x14ac:dyDescent="0.25">
      <c r="A45" s="4">
        <v>46239</v>
      </c>
      <c r="B45" t="s">
        <v>188</v>
      </c>
      <c r="C45" t="s">
        <v>189</v>
      </c>
    </row>
    <row r="46" spans="1:8" x14ac:dyDescent="0.25">
      <c r="A46" s="4">
        <v>46239</v>
      </c>
      <c r="C46" t="s">
        <v>190</v>
      </c>
    </row>
    <row r="47" spans="1:8" x14ac:dyDescent="0.25">
      <c r="A47" s="4">
        <v>46239</v>
      </c>
      <c r="C47" t="s">
        <v>191</v>
      </c>
    </row>
    <row r="48" spans="1:8" x14ac:dyDescent="0.25">
      <c r="A48" s="4">
        <v>46239</v>
      </c>
      <c r="C48" t="s">
        <v>192</v>
      </c>
    </row>
    <row r="49" spans="1:8" x14ac:dyDescent="0.25">
      <c r="A49" s="4">
        <v>46239</v>
      </c>
      <c r="B49" t="s">
        <v>207</v>
      </c>
      <c r="C49" t="s">
        <v>208</v>
      </c>
      <c r="D49">
        <v>1</v>
      </c>
      <c r="F49">
        <v>560</v>
      </c>
      <c r="H49">
        <v>560</v>
      </c>
    </row>
    <row r="50" spans="1:8" x14ac:dyDescent="0.25">
      <c r="A50" s="4">
        <v>46239</v>
      </c>
      <c r="C50" t="s">
        <v>209</v>
      </c>
      <c r="D50">
        <v>0.5</v>
      </c>
      <c r="F50">
        <v>900</v>
      </c>
      <c r="G50">
        <v>70</v>
      </c>
      <c r="H50">
        <v>520</v>
      </c>
    </row>
    <row r="51" spans="1:8" x14ac:dyDescent="0.25">
      <c r="A51" s="4">
        <v>46239</v>
      </c>
      <c r="C51" t="s">
        <v>210</v>
      </c>
      <c r="D51">
        <v>0.5</v>
      </c>
      <c r="F51">
        <v>600</v>
      </c>
      <c r="H51">
        <v>300</v>
      </c>
    </row>
    <row r="52" spans="1:8" x14ac:dyDescent="0.25">
      <c r="A52" s="4">
        <v>46239</v>
      </c>
      <c r="B52" t="s">
        <v>212</v>
      </c>
      <c r="C52" t="s">
        <v>211</v>
      </c>
    </row>
    <row r="53" spans="1:8" x14ac:dyDescent="0.25">
      <c r="A53" s="4">
        <v>46239</v>
      </c>
      <c r="C53" t="s">
        <v>213</v>
      </c>
      <c r="E53">
        <v>40</v>
      </c>
      <c r="F53">
        <v>10</v>
      </c>
      <c r="H53">
        <v>400</v>
      </c>
    </row>
    <row r="54" spans="1:8" x14ac:dyDescent="0.25">
      <c r="A54" s="4">
        <v>46240</v>
      </c>
      <c r="C54" t="s">
        <v>227</v>
      </c>
      <c r="D54">
        <v>2</v>
      </c>
      <c r="F54">
        <v>270</v>
      </c>
      <c r="H54">
        <v>540</v>
      </c>
    </row>
    <row r="55" spans="1:8" x14ac:dyDescent="0.25">
      <c r="A55" s="4">
        <v>46240</v>
      </c>
      <c r="C55" t="s">
        <v>164</v>
      </c>
      <c r="D55">
        <v>4.2</v>
      </c>
      <c r="F55">
        <v>350</v>
      </c>
      <c r="G55">
        <v>70</v>
      </c>
      <c r="H55">
        <v>1540</v>
      </c>
    </row>
    <row r="56" spans="1:8" x14ac:dyDescent="0.25">
      <c r="A56" s="4">
        <v>46245</v>
      </c>
      <c r="B56" t="s">
        <v>165</v>
      </c>
      <c r="C56" t="s">
        <v>144</v>
      </c>
      <c r="D56">
        <v>50</v>
      </c>
      <c r="F56">
        <v>41</v>
      </c>
      <c r="G56">
        <v>60</v>
      </c>
      <c r="H56">
        <v>2110</v>
      </c>
    </row>
    <row r="57" spans="1:8" x14ac:dyDescent="0.25">
      <c r="A57" s="4">
        <v>46270</v>
      </c>
    </row>
  </sheetData>
  <conditionalFormatting sqref="A2:A56">
    <cfRule type="expression" dxfId="0" priority="1">
      <formula>$A2=$A1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H2"/>
  <sheetViews>
    <sheetView zoomScale="134" zoomScaleNormal="130" workbookViewId="0">
      <selection activeCell="F2" sqref="F2"/>
    </sheetView>
  </sheetViews>
  <sheetFormatPr defaultColWidth="11.42578125" defaultRowHeight="15" x14ac:dyDescent="0.25"/>
  <cols>
    <col min="1" max="1" width="6.85546875" customWidth="1"/>
    <col min="2" max="2" width="7.5703125" customWidth="1"/>
    <col min="3" max="3" width="13.5703125" customWidth="1"/>
    <col min="6" max="6" width="15" customWidth="1"/>
  </cols>
  <sheetData>
    <row r="1" spans="1:8" s="3" customFormat="1" x14ac:dyDescent="0.25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7" t="s">
        <v>194</v>
      </c>
      <c r="G1" s="3" t="s">
        <v>80</v>
      </c>
      <c r="H1" s="8" t="s">
        <v>81</v>
      </c>
    </row>
    <row r="2" spans="1:8" x14ac:dyDescent="0.25">
      <c r="D2" t="s">
        <v>68</v>
      </c>
      <c r="E2">
        <f>SUMIF(todays_rent_data!A:A, "MUJIB*", todays_rent_data!C:C)</f>
        <v>25000</v>
      </c>
      <c r="G2" t="str">
        <f>VLOOKUP("MUJIB*", todays_rent_data!A:E, 5, FALSE)</f>
        <v>GRP 4</v>
      </c>
      <c r="H2">
        <f>E2-F2</f>
        <v>25000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H4"/>
  <sheetViews>
    <sheetView zoomScale="130" zoomScaleNormal="130" workbookViewId="0">
      <selection activeCell="F3" sqref="F3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7" t="s">
        <v>194</v>
      </c>
      <c r="G1" s="3" t="s">
        <v>80</v>
      </c>
      <c r="H1" s="8" t="s">
        <v>81</v>
      </c>
    </row>
    <row r="2" spans="1:8" x14ac:dyDescent="0.25">
      <c r="C2" t="s">
        <v>196</v>
      </c>
      <c r="D2" t="s">
        <v>70</v>
      </c>
      <c r="E2">
        <f>SUMIF(todays_rent_data!A:A, "PERVAZ*", todays_rent_data!C:C)</f>
        <v>45000</v>
      </c>
      <c r="G2" t="str">
        <f>VLOOKUP("PERVAZ*", todays_rent_data!A:E, 5, FALSE)</f>
        <v>GRP 5</v>
      </c>
      <c r="H2">
        <f>E2-F2</f>
        <v>45000</v>
      </c>
    </row>
    <row r="3" spans="1:8" x14ac:dyDescent="0.25">
      <c r="C3" t="s">
        <v>241</v>
      </c>
      <c r="D3" t="s">
        <v>70</v>
      </c>
      <c r="E3">
        <f>SUMIF(todays_rent_data!A:A, "PERVAZ*", todays_rent_data!C:C)</f>
        <v>45000</v>
      </c>
      <c r="G3" t="str">
        <f>VLOOKUP("PERVAZ*", todays_rent_data!A:E, 5, FALSE)</f>
        <v>GRP 5</v>
      </c>
      <c r="H3">
        <f>E3-F3</f>
        <v>45000</v>
      </c>
    </row>
    <row r="4" spans="1:8" x14ac:dyDescent="0.25">
      <c r="D4" t="s">
        <v>70</v>
      </c>
      <c r="E4">
        <f>SUMIF(todays_rent_data!A:A, "PERVAZ*", todays_rent_data!C:C)</f>
        <v>45000</v>
      </c>
      <c r="G4" t="str">
        <f>VLOOKUP("PERVAZ*", todays_rent_data!A:E, 5, FALSE)</f>
        <v>GRP 5</v>
      </c>
      <c r="H4">
        <f>E4-F4</f>
        <v>45000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H2"/>
  <sheetViews>
    <sheetView workbookViewId="0">
      <selection activeCell="I20" sqref="I20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7" t="s">
        <v>194</v>
      </c>
      <c r="G1" s="3" t="s">
        <v>80</v>
      </c>
      <c r="H1" s="8" t="s">
        <v>81</v>
      </c>
    </row>
    <row r="2" spans="1:8" x14ac:dyDescent="0.25">
      <c r="A2" s="4"/>
      <c r="D2" t="s">
        <v>73</v>
      </c>
      <c r="E2">
        <f>SUMIF(todays_rent_data!A:A, "AZHAR*", todays_rent_data!C:C)</f>
        <v>11500</v>
      </c>
      <c r="G2" t="str">
        <f>VLOOKUP("AZHAR*", todays_rent_data!A:E, 5, FALSE)</f>
        <v>GRP 5</v>
      </c>
      <c r="H2">
        <f>E2-F2</f>
        <v>11500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H2"/>
  <sheetViews>
    <sheetView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7" t="s">
        <v>194</v>
      </c>
      <c r="G1" s="3" t="s">
        <v>80</v>
      </c>
      <c r="H1" s="8" t="s">
        <v>81</v>
      </c>
    </row>
    <row r="2" spans="1:8" x14ac:dyDescent="0.25">
      <c r="D2" t="s">
        <v>58</v>
      </c>
      <c r="E2">
        <f>SUMIF(todays_rent_data!A:A, "HYDER*", todays_rent_data!C:C)</f>
        <v>25000</v>
      </c>
      <c r="G2" t="str">
        <f>VLOOKUP("HYDER*", todays_rent_data!A:E, 5, FALSE)</f>
        <v>GRP 3</v>
      </c>
      <c r="H2">
        <f>E2-F2</f>
        <v>25000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H2"/>
  <sheetViews>
    <sheetView workbookViewId="0">
      <selection activeCell="F2" sqref="F2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7" t="s">
        <v>194</v>
      </c>
      <c r="G1" s="3" t="s">
        <v>80</v>
      </c>
      <c r="H1" s="8" t="s">
        <v>81</v>
      </c>
    </row>
    <row r="2" spans="1:8" x14ac:dyDescent="0.25">
      <c r="D2" t="s">
        <v>59</v>
      </c>
      <c r="E2">
        <f>SUMIF(todays_rent_data!A:A, "RAFAT*", todays_rent_data!C:C)</f>
        <v>15000</v>
      </c>
      <c r="G2" t="str">
        <f>VLOOKUP("RAFAT*", todays_rent_data!A:E, 5, FALSE)</f>
        <v>GRP 3</v>
      </c>
      <c r="H2">
        <f>E2-F2</f>
        <v>15000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H2"/>
  <sheetViews>
    <sheetView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7" t="s">
        <v>194</v>
      </c>
      <c r="G1" s="3" t="s">
        <v>80</v>
      </c>
      <c r="H1" s="8" t="s">
        <v>81</v>
      </c>
    </row>
    <row r="2" spans="1:8" x14ac:dyDescent="0.25">
      <c r="D2" t="s">
        <v>55</v>
      </c>
      <c r="E2">
        <f>SUMIF(todays_rent_data!A:A, "MOIN*", todays_rent_data!C:C)</f>
        <v>27000</v>
      </c>
      <c r="G2" t="str">
        <f>VLOOKUP("MOIN*", todays_rent_data!A:E, 5, FALSE)</f>
        <v>GRP 3</v>
      </c>
      <c r="H2">
        <f>E2-F2</f>
        <v>27000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H4"/>
  <sheetViews>
    <sheetView zoomScale="160" zoomScaleNormal="160" workbookViewId="0">
      <selection activeCell="D11" sqref="D11"/>
    </sheetView>
  </sheetViews>
  <sheetFormatPr defaultColWidth="11.42578125" defaultRowHeight="15" x14ac:dyDescent="0.25"/>
  <cols>
    <col min="3" max="3" width="14" customWidth="1"/>
    <col min="6" max="6" width="15" customWidth="1"/>
  </cols>
  <sheetData>
    <row r="1" spans="1:8" s="3" customFormat="1" x14ac:dyDescent="0.25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7" t="s">
        <v>194</v>
      </c>
      <c r="G1" s="3" t="s">
        <v>80</v>
      </c>
      <c r="H1" s="8" t="s">
        <v>81</v>
      </c>
    </row>
    <row r="2" spans="1:8" x14ac:dyDescent="0.25">
      <c r="A2" s="4">
        <v>46235</v>
      </c>
      <c r="B2" t="s">
        <v>195</v>
      </c>
      <c r="C2" t="s">
        <v>196</v>
      </c>
      <c r="D2" t="s">
        <v>197</v>
      </c>
      <c r="E2">
        <f>SUMIF(todays_rent_data!A:A, "ANAS*", todays_rent_data!C:C)</f>
        <v>119600</v>
      </c>
      <c r="F2">
        <v>119600</v>
      </c>
      <c r="G2" t="str">
        <f>VLOOKUP("ANAS*", todays_rent_data!A:E, 5, FALSE)</f>
        <v>GRP 1</v>
      </c>
      <c r="H2">
        <f>E2-F2</f>
        <v>0</v>
      </c>
    </row>
    <row r="3" spans="1:8" x14ac:dyDescent="0.25">
      <c r="A3" s="4"/>
      <c r="D3" t="s">
        <v>197</v>
      </c>
      <c r="E3">
        <f>SUMIF(todays_rent_data!A:A, "ANAS*", todays_rent_data!C:C)</f>
        <v>119600</v>
      </c>
      <c r="G3" t="str">
        <f>VLOOKUP("ANAS*", todays_rent_data!A:E, 5, FALSE)</f>
        <v>GRP 1</v>
      </c>
      <c r="H3">
        <f>E3-F3</f>
        <v>119600</v>
      </c>
    </row>
    <row r="4" spans="1:8" x14ac:dyDescent="0.25">
      <c r="A4" s="4"/>
      <c r="D4" t="s">
        <v>197</v>
      </c>
      <c r="E4">
        <f>SUMIF(todays_rent_data!A:A, "ANAS*", todays_rent_data!C:C)</f>
        <v>119600</v>
      </c>
      <c r="G4" t="str">
        <f>VLOOKUP("ANAS*", todays_rent_data!A:E, 5, FALSE)</f>
        <v>GRP 1</v>
      </c>
      <c r="H4">
        <f>E4-F4</f>
        <v>119600</v>
      </c>
    </row>
  </sheetData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H2"/>
  <sheetViews>
    <sheetView zoomScale="160" zoomScaleNormal="160" workbookViewId="0">
      <selection activeCell="C3" sqref="A3:XFD3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7" t="s">
        <v>194</v>
      </c>
      <c r="G1" s="3" t="s">
        <v>80</v>
      </c>
      <c r="H1" s="8" t="s">
        <v>81</v>
      </c>
    </row>
    <row r="2" spans="1:8" x14ac:dyDescent="0.25">
      <c r="A2" s="4">
        <v>46239</v>
      </c>
      <c r="B2" t="s">
        <v>195</v>
      </c>
      <c r="C2" t="s">
        <v>196</v>
      </c>
      <c r="D2" t="s">
        <v>14</v>
      </c>
      <c r="E2">
        <f>SUMIF(todays_rent_data!A:A, "AZIM*", todays_rent_data!C:C)</f>
        <v>26000</v>
      </c>
      <c r="F2">
        <v>26000</v>
      </c>
      <c r="G2" t="str">
        <f>VLOOKUP("AZIM*", todays_rent_data!A:E, 5, FALSE)</f>
        <v>GRP 1</v>
      </c>
      <c r="H2">
        <f>E2-F2</f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H4"/>
  <sheetViews>
    <sheetView zoomScale="235" zoomScaleNormal="235" workbookViewId="0">
      <selection activeCell="D3" sqref="A3:XFD3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7" t="s">
        <v>194</v>
      </c>
      <c r="G1" s="3" t="s">
        <v>80</v>
      </c>
      <c r="H1" s="8" t="s">
        <v>81</v>
      </c>
    </row>
    <row r="2" spans="1:8" x14ac:dyDescent="0.25">
      <c r="A2" s="4">
        <v>46238</v>
      </c>
      <c r="B2" t="s">
        <v>195</v>
      </c>
      <c r="C2" t="s">
        <v>196</v>
      </c>
      <c r="D2" t="s">
        <v>18</v>
      </c>
      <c r="E2">
        <f>SUMIF(todays_rent_data!A:A, "SONU*", todays_rent_data!C:C)</f>
        <v>20000</v>
      </c>
      <c r="F2">
        <v>20000</v>
      </c>
      <c r="G2" t="str">
        <f>VLOOKUP("SONU*", todays_rent_data!A:E, 5, FALSE)</f>
        <v>GRP 1</v>
      </c>
      <c r="H2">
        <f>E2-F2</f>
        <v>0</v>
      </c>
    </row>
    <row r="3" spans="1:8" x14ac:dyDescent="0.25">
      <c r="A3" s="4"/>
    </row>
    <row r="4" spans="1:8" x14ac:dyDescent="0.25">
      <c r="A4" s="4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H3"/>
  <sheetViews>
    <sheetView zoomScale="222" workbookViewId="0">
      <selection activeCell="A3" sqref="A3:XFD3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7" t="s">
        <v>194</v>
      </c>
      <c r="G1" s="3" t="s">
        <v>80</v>
      </c>
      <c r="H1" s="8" t="s">
        <v>81</v>
      </c>
    </row>
    <row r="2" spans="1:8" x14ac:dyDescent="0.25">
      <c r="A2" s="4">
        <v>46240</v>
      </c>
      <c r="C2" t="s">
        <v>196</v>
      </c>
      <c r="D2" t="s">
        <v>22</v>
      </c>
      <c r="E2">
        <f>SUMIF(todays_rent_data!A:A, "DUBEY JI*", todays_rent_data!C:C)</f>
        <v>50000</v>
      </c>
      <c r="F2">
        <v>50000</v>
      </c>
      <c r="G2" t="str">
        <f>VLOOKUP("DUBEY JI*", todays_rent_data!A:E, 5, FALSE)</f>
        <v>GRP 1</v>
      </c>
      <c r="H2">
        <f>E2-F2</f>
        <v>0</v>
      </c>
    </row>
    <row r="3" spans="1:8" x14ac:dyDescent="0.25">
      <c r="D3" t="s">
        <v>22</v>
      </c>
      <c r="E3">
        <f>SUMIF(todays_rent_data!A:A, "DUBEY JI*", todays_rent_data!C:C)</f>
        <v>50000</v>
      </c>
      <c r="G3" t="str">
        <f>VLOOKUP("DUBEY JI*", todays_rent_data!A:E, 5, FALSE)</f>
        <v>GRP 1</v>
      </c>
      <c r="H3">
        <f>E3-F3</f>
        <v>50000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H3"/>
  <sheetViews>
    <sheetView zoomScale="241" workbookViewId="0">
      <selection activeCell="F3" sqref="F3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7" t="s">
        <v>194</v>
      </c>
      <c r="G1" s="3" t="s">
        <v>80</v>
      </c>
      <c r="H1" s="8" t="s">
        <v>81</v>
      </c>
    </row>
    <row r="2" spans="1:8" x14ac:dyDescent="0.25">
      <c r="A2" s="4">
        <v>46244</v>
      </c>
      <c r="C2" t="s">
        <v>196</v>
      </c>
      <c r="D2" t="s">
        <v>25</v>
      </c>
      <c r="E2">
        <f>SUMIF(todays_rent_data!A:A, "KAMAL*", todays_rent_data!C:C)</f>
        <v>20000</v>
      </c>
      <c r="F2">
        <v>20000</v>
      </c>
      <c r="G2" t="str">
        <f>VLOOKUP("KAMAL*", todays_rent_data!A:E, 5, FALSE)</f>
        <v>GRP 1</v>
      </c>
      <c r="H2">
        <f>E2-F2</f>
        <v>0</v>
      </c>
    </row>
    <row r="3" spans="1:8" x14ac:dyDescent="0.25">
      <c r="A3" s="4">
        <v>46275</v>
      </c>
      <c r="D3" t="s">
        <v>25</v>
      </c>
      <c r="E3">
        <f>SUMIF(todays_rent_data!A:A, "KAMAL*", todays_rent_data!C:C)</f>
        <v>20000</v>
      </c>
      <c r="G3" t="str">
        <f>VLOOKUP("KAMAL*", todays_rent_data!A:E, 5, FALSE)</f>
        <v>GRP 1</v>
      </c>
      <c r="H3">
        <f>E3-F3</f>
        <v>20000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H2"/>
  <sheetViews>
    <sheetView zoomScale="200"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7" t="s">
        <v>194</v>
      </c>
      <c r="G1" s="3" t="s">
        <v>80</v>
      </c>
      <c r="H1" s="8" t="s">
        <v>81</v>
      </c>
    </row>
    <row r="2" spans="1:8" x14ac:dyDescent="0.25">
      <c r="D2" t="s">
        <v>35</v>
      </c>
      <c r="E2">
        <f>SUMIF(todays_rent_data!A:A, "EJAZ*", todays_rent_data!C:C)</f>
        <v>75000</v>
      </c>
      <c r="G2" t="str">
        <f>VLOOKUP("EJAZ*", todays_rent_data!A:E, 5, FALSE)</f>
        <v>GRP 2</v>
      </c>
      <c r="H2">
        <f>E2-F2</f>
        <v>75000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H2"/>
  <sheetViews>
    <sheetView zoomScale="130" zoomScaleNormal="130"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7" t="s">
        <v>194</v>
      </c>
      <c r="G1" s="3" t="s">
        <v>80</v>
      </c>
      <c r="H1" s="8" t="s">
        <v>81</v>
      </c>
    </row>
    <row r="2" spans="1:8" x14ac:dyDescent="0.25">
      <c r="D2" t="s">
        <v>46</v>
      </c>
      <c r="E2">
        <f>SUMIF(todays_rent_data!A:A, "NEHAL*", todays_rent_data!C:C)</f>
        <v>209000</v>
      </c>
      <c r="G2" t="str">
        <f>VLOOKUP("NEHAL*", todays_rent_data!A:E, 5, FALSE)</f>
        <v>GRP 2</v>
      </c>
      <c r="H2">
        <f>E2-F2</f>
        <v>209000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H2"/>
  <sheetViews>
    <sheetView workbookViewId="0">
      <selection activeCell="N39" sqref="N39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7" t="s">
        <v>194</v>
      </c>
      <c r="G1" s="3" t="s">
        <v>80</v>
      </c>
      <c r="H1" s="8" t="s">
        <v>81</v>
      </c>
    </row>
    <row r="2" spans="1:8" x14ac:dyDescent="0.25">
      <c r="D2" t="s">
        <v>37</v>
      </c>
      <c r="E2">
        <f>SUMIF(todays_rent_data!A:A, "ANUJ*", todays_rent_data!C:C)</f>
        <v>27500</v>
      </c>
      <c r="G2" t="str">
        <f>VLOOKUP("ANUJ*", todays_rent_data!A:E, 5, FALSE)</f>
        <v>GRP 2</v>
      </c>
      <c r="H2">
        <f>E2-F2</f>
        <v>27500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H2"/>
  <sheetViews>
    <sheetView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7" t="s">
        <v>194</v>
      </c>
      <c r="G1" s="3" t="s">
        <v>80</v>
      </c>
      <c r="H1" s="8" t="s">
        <v>81</v>
      </c>
    </row>
    <row r="2" spans="1:8" x14ac:dyDescent="0.25">
      <c r="D2" t="s">
        <v>43</v>
      </c>
      <c r="E2">
        <f>SUMIF(todays_rent_data!A:A, "ATIQUE*", todays_rent_data!C:C)</f>
        <v>20000</v>
      </c>
      <c r="G2" t="str">
        <f>VLOOKUP("ATIQUE*", todays_rent_data!A:E, 5, FALSE)</f>
        <v>GRP 2</v>
      </c>
      <c r="H2">
        <f>E2-F2</f>
        <v>20000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H2"/>
  <sheetViews>
    <sheetView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7" t="s">
        <v>194</v>
      </c>
      <c r="G1" s="3" t="s">
        <v>80</v>
      </c>
      <c r="H1" s="8" t="s">
        <v>81</v>
      </c>
    </row>
    <row r="2" spans="1:8" x14ac:dyDescent="0.25">
      <c r="D2" t="s">
        <v>65</v>
      </c>
      <c r="E2">
        <f>SUMIF(todays_rent_data!A:A, "RANJAN*", todays_rent_data!C:C)</f>
        <v>62500</v>
      </c>
      <c r="G2" t="str">
        <f>VLOOKUP("RANJAN*", todays_rent_data!A:E, 5, FALSE)</f>
        <v>GRP 2</v>
      </c>
      <c r="H2">
        <f>E2-F2</f>
        <v>62500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H2"/>
  <sheetViews>
    <sheetView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7" t="s">
        <v>194</v>
      </c>
      <c r="G1" s="3" t="s">
        <v>80</v>
      </c>
      <c r="H1" s="8" t="s">
        <v>81</v>
      </c>
    </row>
    <row r="2" spans="1:8" x14ac:dyDescent="0.25">
      <c r="D2" t="s">
        <v>48</v>
      </c>
      <c r="E2">
        <f>SUMIF(todays_rent_data!A:A, "MANISH*", todays_rent_data!C:C)</f>
        <v>38000</v>
      </c>
      <c r="G2" t="str">
        <f>VLOOKUP("MANISH*", todays_rent_data!A:E, 5, FALSE)</f>
        <v>GRP 2</v>
      </c>
      <c r="H2">
        <f>E2-F2</f>
        <v>38000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H2"/>
  <sheetViews>
    <sheetView workbookViewId="0">
      <selection activeCell="D4" sqref="D4"/>
    </sheetView>
  </sheetViews>
  <sheetFormatPr defaultColWidth="11.42578125" defaultRowHeight="15" x14ac:dyDescent="0.25"/>
  <cols>
    <col min="3" max="3" width="15.5703125" bestFit="1" customWidth="1"/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7" t="s">
        <v>194</v>
      </c>
      <c r="G1" s="3" t="s">
        <v>80</v>
      </c>
      <c r="H1" s="8" t="s">
        <v>81</v>
      </c>
    </row>
    <row r="2" spans="1:8" x14ac:dyDescent="0.25">
      <c r="D2" t="s">
        <v>50</v>
      </c>
      <c r="E2">
        <f>SUMIF(todays_rent_data!A:A, "SUNNY*", todays_rent_data!C:C)</f>
        <v>16000</v>
      </c>
      <c r="G2" t="str">
        <f>VLOOKUP("SUNNY*", todays_rent_data!A:E, 5, FALSE)</f>
        <v>GRP 2</v>
      </c>
      <c r="H2">
        <f>E2-F2</f>
        <v>16000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2"/>
  <dimension ref="A1:H3"/>
  <sheetViews>
    <sheetView zoomScale="288" zoomScaleNormal="115" workbookViewId="0">
      <selection activeCell="F3" sqref="F3"/>
    </sheetView>
  </sheetViews>
  <sheetFormatPr defaultColWidth="8.85546875" defaultRowHeight="15" x14ac:dyDescent="0.25"/>
  <cols>
    <col min="1" max="1" width="15.5703125" customWidth="1"/>
    <col min="2" max="2" width="12.5703125" customWidth="1"/>
    <col min="3" max="3" width="20.5703125" customWidth="1"/>
    <col min="4" max="5" width="15.5703125" customWidth="1"/>
    <col min="6" max="6" width="15" customWidth="1"/>
    <col min="7" max="7" width="15.5703125" customWidth="1"/>
  </cols>
  <sheetData>
    <row r="1" spans="1:8" x14ac:dyDescent="0.25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7" t="s">
        <v>194</v>
      </c>
      <c r="G1" s="3" t="s">
        <v>80</v>
      </c>
      <c r="H1" s="8" t="s">
        <v>81</v>
      </c>
    </row>
    <row r="2" spans="1:8" x14ac:dyDescent="0.25">
      <c r="A2" s="4">
        <v>46235</v>
      </c>
      <c r="C2" t="s">
        <v>196</v>
      </c>
      <c r="D2" t="s">
        <v>11</v>
      </c>
      <c r="E2">
        <f>SUMIF(todays_rent_data!A:A, "NOOR MD.*", todays_rent_data!C:C)</f>
        <v>11000</v>
      </c>
      <c r="F2">
        <v>11000</v>
      </c>
      <c r="G2" t="str">
        <f>VLOOKUP("NOOR MD.*", todays_rent_data!A:E, 5, FALSE)</f>
        <v>GRP 1</v>
      </c>
      <c r="H2">
        <f>E2-F2</f>
        <v>0</v>
      </c>
    </row>
    <row r="3" spans="1:8" x14ac:dyDescent="0.25">
      <c r="A3" s="4">
        <v>46266</v>
      </c>
      <c r="D3" t="s">
        <v>11</v>
      </c>
      <c r="E3">
        <f>SUMIF(todays_rent_data!A:A, "NOOR MD.*", todays_rent_data!C:C)</f>
        <v>11000</v>
      </c>
      <c r="G3" t="str">
        <f>VLOOKUP("NOOR MD.*", todays_rent_data!A:E, 5, FALSE)</f>
        <v>GRP 1</v>
      </c>
      <c r="H3">
        <f>E3-F3</f>
        <v>11000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todays_rent_data</vt:lpstr>
      <vt:lpstr>TODAYS_EXPENDITURE</vt:lpstr>
      <vt:lpstr>DATABASE_EXPENDITURE</vt:lpstr>
      <vt:lpstr>PAYMENT SHEET</vt:lpstr>
      <vt:lpstr>PURCHASE SHEET</vt:lpstr>
      <vt:lpstr>DATABASE_PURCHASE</vt:lpstr>
      <vt:lpstr>MUJIB</vt:lpstr>
      <vt:lpstr>PERVAZ</vt:lpstr>
      <vt:lpstr>AZHAR</vt:lpstr>
      <vt:lpstr>HYDER</vt:lpstr>
      <vt:lpstr>RAFAT</vt:lpstr>
      <vt:lpstr>MOIN</vt:lpstr>
      <vt:lpstr>ANAS</vt:lpstr>
      <vt:lpstr>AZIM</vt:lpstr>
      <vt:lpstr>SONU</vt:lpstr>
      <vt:lpstr>DUBEY JI</vt:lpstr>
      <vt:lpstr>KAMAL</vt:lpstr>
      <vt:lpstr>EJAZ</vt:lpstr>
      <vt:lpstr>NEHAL</vt:lpstr>
      <vt:lpstr>ANUJ</vt:lpstr>
      <vt:lpstr>ATIQUE</vt:lpstr>
      <vt:lpstr>RANJAN</vt:lpstr>
      <vt:lpstr>MANISH</vt:lpstr>
      <vt:lpstr>SUNNY</vt:lpstr>
      <vt:lpstr>NOOR MD.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Raquib .</dc:creator>
  <cp:lastModifiedBy>Raquib .</cp:lastModifiedBy>
  <dcterms:created xsi:type="dcterms:W3CDTF">2026-07-28T11:35:20Z</dcterms:created>
  <dcterms:modified xsi:type="dcterms:W3CDTF">2026-08-12T12:53:24Z</dcterms:modified>
</cp:coreProperties>
</file>