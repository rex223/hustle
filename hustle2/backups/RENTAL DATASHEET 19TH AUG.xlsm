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63FDBC1E-69A5-4FEF-A126-400EDF327A8B}" xr6:coauthVersionLast="47" xr6:coauthVersionMax="47" xr10:uidLastSave="{00000000-0000-0000-0000-000000000000}"/>
  <bookViews>
    <workbookView xWindow="-120" yWindow="-120" windowWidth="29040" windowHeight="16440" tabRatio="938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UJIB" sheetId="5" r:id="rId6"/>
    <sheet name="PERVAZ" sheetId="6" r:id="rId7"/>
    <sheet name="AZHAR" sheetId="7" r:id="rId8"/>
    <sheet name="HYDER" sheetId="8" r:id="rId9"/>
    <sheet name="RAFAT" sheetId="9" r:id="rId10"/>
    <sheet name="MOIN" sheetId="10" r:id="rId11"/>
    <sheet name="ANAS" sheetId="11" r:id="rId12"/>
    <sheet name="AZIM" sheetId="12" r:id="rId13"/>
    <sheet name="SONU" sheetId="13" r:id="rId14"/>
    <sheet name="DUBEY JI" sheetId="14" r:id="rId15"/>
    <sheet name="KAMAL" sheetId="15" r:id="rId16"/>
    <sheet name="EJAZ" sheetId="16" r:id="rId17"/>
    <sheet name="NEHAL" sheetId="17" r:id="rId18"/>
    <sheet name="ANUJ" sheetId="18" r:id="rId19"/>
    <sheet name="ATIQUE" sheetId="19" r:id="rId20"/>
    <sheet name="RANJAN" sheetId="20" r:id="rId21"/>
    <sheet name="MANISH" sheetId="21" r:id="rId22"/>
    <sheet name="SUNNY" sheetId="22" r:id="rId23"/>
    <sheet name="NOOR MD." sheetId="23" r:id="rId24"/>
  </sheets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todays_rent_data!$A$1:$M$33</definedName>
  </definedNames>
  <calcPr calcId="191029"/>
</workbook>
</file>

<file path=xl/calcChain.xml><?xml version="1.0" encoding="utf-8"?>
<calcChain xmlns="http://schemas.openxmlformats.org/spreadsheetml/2006/main">
  <c r="B31" i="29" l="1"/>
  <c r="L8" i="29"/>
  <c r="P7" i="29"/>
  <c r="AQ6" i="29"/>
  <c r="C35" i="1" l="1"/>
  <c r="C34" i="1"/>
  <c r="C29" i="1"/>
  <c r="C24" i="1"/>
  <c r="C12" i="1"/>
  <c r="H3" i="6"/>
  <c r="L8" i="3"/>
  <c r="B31" i="3"/>
  <c r="P7" i="3"/>
  <c r="AQ6" i="3"/>
  <c r="G3" i="15" l="1"/>
  <c r="E3" i="15"/>
  <c r="H3" i="15" s="1"/>
  <c r="E3" i="14"/>
  <c r="H3" i="14" s="1"/>
  <c r="G3" i="14"/>
  <c r="G4" i="11"/>
  <c r="E4" i="11"/>
  <c r="H4" i="11" s="1"/>
  <c r="G3" i="11"/>
  <c r="E3" i="11"/>
  <c r="H3" i="11" s="1"/>
  <c r="G3" i="23"/>
  <c r="E3" i="23"/>
  <c r="H3" i="23" s="1"/>
  <c r="G2" i="23"/>
  <c r="E2" i="23"/>
  <c r="H2" i="23" s="1"/>
  <c r="G2" i="22"/>
  <c r="E2" i="22"/>
  <c r="H2" i="22" s="1"/>
  <c r="G2" i="21"/>
  <c r="E2" i="21"/>
  <c r="H2" i="21" s="1"/>
  <c r="G2" i="20"/>
  <c r="E2" i="20"/>
  <c r="H2" i="20" s="1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</calcChain>
</file>

<file path=xl/sharedStrings.xml><?xml version="1.0" encoding="utf-8"?>
<sst xmlns="http://schemas.openxmlformats.org/spreadsheetml/2006/main" count="874" uniqueCount="259">
  <si>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</si>
  <si>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</si>
  <si>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</si>
  <si>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</si>
  <si>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</si>
  <si>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</si>
  <si>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</si>
  <si>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</si>
  <si>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</si>
  <si>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</si>
  <si>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</si>
  <si>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</si>
  <si>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</si>
  <si>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</si>
  <si>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</si>
  <si>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</si>
  <si>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</si>
  <si>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</si>
  <si>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</si>
  <si>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</si>
  <si>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</si>
  <si>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</si>
  <si>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</si>
  <si>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</si>
  <si>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</si>
  <si>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</si>
  <si>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</si>
  <si>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</si>
  <si>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</si>
  <si>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</si>
  <si>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</si>
  <si>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</si>
  <si>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</si>
  <si>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</si>
  <si>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</si>
  <si>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</si>
  <si>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</si>
  <si>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</si>
  <si>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</si>
  <si>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</si>
  <si>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</si>
  <si>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</si>
  <si>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</si>
  <si>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</si>
  <si>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</si>
  <si>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</si>
  <si>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</si>
  <si>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</si>
  <si>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</si>
  <si>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</si>
  <si>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</si>
  <si>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</si>
  <si>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</si>
  <si>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</si>
  <si>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</si>
  <si>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</si>
  <si>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</si>
  <si>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</si>
  <si>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</si>
  <si>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</si>
  <si>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</si>
  <si>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</si>
  <si>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</si>
  <si>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</si>
  <si>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</si>
  <si>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</si>
  <si>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</si>
  <si>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</si>
  <si>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</si>
  <si>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</si>
  <si>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</si>
  <si>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</si>
  <si>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</si>
  <si>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</si>
  <si>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</si>
  <si>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</si>
  <si>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</si>
  <si>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</si>
  <si>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</si>
  <si>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</si>
  <si>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</si>
  <si>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</si>
  <si>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</si>
  <si>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</si>
  <si>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</si>
  <si>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</si>
  <si>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</si>
  <si>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</si>
  <si>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</si>
  <si>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</si>
  <si>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</si>
  <si>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</si>
  <si>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</si>
  <si>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</si>
  <si>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</si>
  <si>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</si>
  <si>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</si>
  <si>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</si>
  <si>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</si>
  <si>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</si>
  <si>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</si>
  <si>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</si>
  <si>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</si>
  <si>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</si>
  <si>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</si>
  <si>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</si>
  <si>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</si>
  <si>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</si>
  <si>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</si>
  <si>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</si>
  <si>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</si>
  <si>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</si>
  <si>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</si>
  <si>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</si>
  <si>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</si>
  <si>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</si>
  <si>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</si>
  <si>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</si>
  <si>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</si>
  <si>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</si>
  <si>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</si>
  <si>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</si>
  <si>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</si>
  <si>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</si>
  <si>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</si>
  <si>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</si>
  <si>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</si>
  <si>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</si>
  <si>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</si>
  <si>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</si>
  <si>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</si>
  <si>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</si>
  <si>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</si>
  <si>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</si>
  <si>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</si>
  <si>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</si>
  <si>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</si>
  <si>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</si>
  <si>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</si>
  <si>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</si>
  <si>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</si>
  <si>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</si>
  <si>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</si>
  <si>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</si>
  <si>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</si>
  <si>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</si>
  <si>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</si>
  <si>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</si>
  <si>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</si>
  <si>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</si>
  <si>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</si>
  <si>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</si>
  <si>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</si>
  <si>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</si>
  <si>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</si>
  <si>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</si>
  <si>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</si>
  <si>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</si>
  <si>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</si>
  <si>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</si>
  <si>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</si>
  <si>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</si>
  <si>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</si>
  <si>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</si>
  <si>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</si>
  <si>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</si>
  <si>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</si>
  <si>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</si>
  <si>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</si>
  <si>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</si>
  <si>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</si>
  <si>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</si>
  <si>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</si>
  <si>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</si>
  <si>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</si>
  <si>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</si>
  <si>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</si>
  <si>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</si>
  <si>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</si>
  <si>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</si>
  <si>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</si>
  <si>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</si>
  <si>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</si>
  <si>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</si>
  <si>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</si>
  <si>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</si>
  <si>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</si>
  <si>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</si>
  <si>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</si>
  <si>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</si>
  <si>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</si>
  <si>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</si>
  <si>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</si>
  <si>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</si>
  <si>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</si>
  <si>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</si>
  <si>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</si>
  <si>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</si>
  <si>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</si>
  <si>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</si>
  <si>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</si>
  <si>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</si>
  <si>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</si>
  <si>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</si>
  <si>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</si>
  <si>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</si>
  <si>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</si>
  <si>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</si>
  <si>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</si>
  <si>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</si>
  <si>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</si>
  <si>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</si>
  <si>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</si>
  <si>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</si>
  <si>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-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</si>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</sst>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d\ mmm\ yyyy"/>
  </numFmts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</fills>
  <borders count="11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164" fontId="0" fillId="11" borderId="1" xfId="0" applyNumberFormat="1" applyFill="1" applyBorder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164" fontId="0" fillId="0" borderId="1" xfId="0" applyNumberFormat="1" applyBorder="1"/>
    <xf numFmtId="0" fontId="8" fillId="15" borderId="5" xfId="0" applyFont="1" applyFill="1" applyBorder="1"/>
    <xf numFmtId="0" fontId="8" fillId="15" borderId="6" xfId="0" applyFont="1" applyFill="1" applyBorder="1"/>
    <xf numFmtId="0" fontId="8" fillId="15" borderId="7" xfId="0" applyFont="1" applyFill="1" applyBorder="1"/>
    <xf numFmtId="165" fontId="0" fillId="0" borderId="0" xfId="0" applyNumberFormat="1"/>
    <xf numFmtId="165" fontId="7" fillId="12" borderId="2" xfId="0" applyNumberFormat="1" applyFont="1" applyFill="1" applyBorder="1"/>
    <xf numFmtId="165" fontId="0" fillId="0" borderId="8" xfId="0" applyNumberFormat="1" applyBorder="1"/>
    <xf numFmtId="0" fontId="0" fillId="0" borderId="8" xfId="0" applyBorder="1"/>
    <xf numFmtId="165" fontId="0" fillId="0" borderId="9" xfId="0" applyNumberFormat="1" applyBorder="1"/>
    <xf numFmtId="0" fontId="0" fillId="0" borderId="9" xfId="0" applyBorder="1"/>
    <xf numFmtId="165" fontId="0" fillId="0" borderId="10" xfId="0" applyNumberFormat="1" applyBorder="1"/>
    <xf numFmtId="0" fontId="0" fillId="0" borderId="10" xfId="0" applyBorder="1"/>
    <xf numFmtId="3" fontId="4" fillId="0" borderId="0" xfId="0" applyNumberFormat="1" applyFont="1"/>
    <xf numFmtId="0" fontId="9" fillId="14" borderId="4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d\ mmm\ yyyy"/>
    </dxf>
  </dxfs>
  <tableStyles count="0" defaultTableStyle="TableStyleMedium9" defaultPivotStyle="PivotStyleLight16"/>
  <colors>
    <mruColors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en-AS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28</xdr:row>
      <xdr:rowOff>32017</xdr:rowOff>
    </xdr:from>
    <xdr:to>
      <xdr:col>13</xdr:col>
      <xdr:colOff>312964</xdr:colOff>
      <xdr:row>31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en-AS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28</xdr:row>
      <xdr:rowOff>29616</xdr:rowOff>
    </xdr:from>
    <xdr:to>
      <xdr:col>16</xdr:col>
      <xdr:colOff>63233</xdr:colOff>
      <xdr:row>30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en-AS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28</xdr:row>
      <xdr:rowOff>45625</xdr:rowOff>
    </xdr:from>
    <xdr:to>
      <xdr:col>19</xdr:col>
      <xdr:colOff>114460</xdr:colOff>
      <xdr:row>30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en-AS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61" totalsRowShown="0">
  <autoFilter ref="A3:G61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65" totalsRowShown="0">
  <autoFilter ref="A1:H65" xr:uid="{00000000-0009-0000-0100-000001000000}"/>
  <sortState xmlns:xlrd2="http://schemas.microsoft.com/office/spreadsheetml/2017/richdata2" ref="A2:H65">
    <sortCondition ref="A1:A65"/>
  </sortState>
  <tableColumns count="8">
    <tableColumn id="1" xr3:uid="{00000000-0010-0000-0100-000001000000}" name="DATE" dataDxfId="7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6"/>
  <sheetViews>
    <sheetView tabSelected="1" showOutlineSymbols="0" zoomScale="85" zoomScaleNormal="85" workbookViewId="0">
      <selection activeCell="O15" sqref="O15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18.7109375" bestFit="1" customWidth="1"/>
    <col min="9" max="9" width="18.28515625" bestFit="1" customWidth="1"/>
    <col min="10" max="10" width="12.7109375" bestFit="1" customWidth="1"/>
    <col min="11" max="11" width="15.140625" bestFit="1" customWidth="1"/>
    <col min="12" max="12" width="20.42578125" bestFit="1" customWidth="1"/>
    <col min="13" max="13" width="16.42578125" bestFit="1" customWidth="1"/>
    <col min="14" max="14" width="11.7109375" bestFit="1" customWidth="1"/>
    <col min="15" max="15" width="22.140625" bestFit="1" customWidth="1"/>
  </cols>
  <sheetData>
    <row r="1" spans="1:15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5" t="s">
        <v>233</v>
      </c>
      <c r="I1" s="35" t="s">
        <v>234</v>
      </c>
      <c r="J1" s="8" t="s">
        <v>78</v>
      </c>
      <c r="K1" s="8" t="s">
        <v>213</v>
      </c>
      <c r="L1" s="8" t="s">
        <v>210</v>
      </c>
      <c r="M1" s="8" t="s">
        <v>211</v>
      </c>
      <c r="N1" s="8" t="s">
        <v>212</v>
      </c>
      <c r="O1" s="33" t="s">
        <v>232</v>
      </c>
    </row>
    <row r="2" spans="1:15" ht="18.75" outlineLevel="2" x14ac:dyDescent="0.3">
      <c r="A2" t="s">
        <v>7</v>
      </c>
      <c r="B2" t="s">
        <v>8</v>
      </c>
      <c r="C2">
        <v>35000</v>
      </c>
      <c r="D2" t="s">
        <v>9</v>
      </c>
      <c r="E2" t="s">
        <v>10</v>
      </c>
      <c r="H2" s="52">
        <v>35000</v>
      </c>
      <c r="I2" s="52">
        <v>0</v>
      </c>
      <c r="J2" s="9" t="s">
        <v>10</v>
      </c>
      <c r="K2" s="36">
        <v>46244</v>
      </c>
      <c r="L2" s="11">
        <v>246600</v>
      </c>
      <c r="M2" s="11">
        <v>246600</v>
      </c>
      <c r="N2" s="11">
        <v>0</v>
      </c>
      <c r="O2" s="34" t="s">
        <v>231</v>
      </c>
    </row>
    <row r="3" spans="1:15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H3" s="52">
        <v>11000</v>
      </c>
      <c r="I3" s="52">
        <v>0</v>
      </c>
      <c r="J3" s="10" t="s">
        <v>32</v>
      </c>
      <c r="K3" s="40">
        <v>46248</v>
      </c>
      <c r="L3" s="12">
        <v>420500</v>
      </c>
      <c r="M3" s="12">
        <v>345500</v>
      </c>
      <c r="N3" s="12">
        <v>75000</v>
      </c>
    </row>
    <row r="4" spans="1:15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H4" s="52">
        <v>26000</v>
      </c>
      <c r="I4" s="52">
        <v>0</v>
      </c>
      <c r="J4" s="9" t="s">
        <v>57</v>
      </c>
      <c r="K4" s="9" t="s">
        <v>214</v>
      </c>
      <c r="L4" s="11">
        <v>67000</v>
      </c>
      <c r="M4" s="11">
        <v>0</v>
      </c>
      <c r="N4" s="11">
        <v>67000</v>
      </c>
    </row>
    <row r="5" spans="1:15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H5" s="52">
        <v>35000</v>
      </c>
      <c r="I5" s="52">
        <v>0</v>
      </c>
      <c r="J5" s="10" t="s">
        <v>67</v>
      </c>
      <c r="K5" s="40">
        <v>46252</v>
      </c>
      <c r="L5" s="12">
        <v>109000</v>
      </c>
      <c r="M5" s="12">
        <v>20000</v>
      </c>
      <c r="N5" s="12">
        <v>89000</v>
      </c>
    </row>
    <row r="6" spans="1:15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H6" s="52">
        <v>20000</v>
      </c>
      <c r="I6" s="52">
        <v>0</v>
      </c>
      <c r="L6" s="13"/>
      <c r="M6" s="13"/>
      <c r="N6" s="13"/>
    </row>
    <row r="7" spans="1:15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H7" s="52">
        <v>24500</v>
      </c>
      <c r="I7" s="52">
        <v>0</v>
      </c>
    </row>
    <row r="8" spans="1:15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  <c r="H8" s="52">
        <v>50000</v>
      </c>
      <c r="I8" s="52">
        <v>0</v>
      </c>
    </row>
    <row r="9" spans="1:15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  <c r="H9" s="52">
        <v>12100</v>
      </c>
      <c r="I9" s="52">
        <v>0</v>
      </c>
    </row>
    <row r="10" spans="1:15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52">
        <v>20000</v>
      </c>
      <c r="I10" s="52">
        <v>0</v>
      </c>
    </row>
    <row r="11" spans="1:15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52">
        <v>13000</v>
      </c>
      <c r="I11" s="52">
        <v>0</v>
      </c>
    </row>
    <row r="12" spans="1:15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52"/>
      <c r="I12" s="52"/>
    </row>
    <row r="13" spans="1:15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52">
        <v>70000</v>
      </c>
      <c r="I13" s="52">
        <v>0</v>
      </c>
    </row>
    <row r="14" spans="1:15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52">
        <v>45000</v>
      </c>
      <c r="I14" s="52">
        <v>0</v>
      </c>
    </row>
    <row r="15" spans="1:15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52">
        <v>0</v>
      </c>
      <c r="I15" s="52">
        <v>75000</v>
      </c>
    </row>
    <row r="16" spans="1:15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52">
        <v>27500</v>
      </c>
      <c r="I16" s="52">
        <v>0</v>
      </c>
    </row>
    <row r="17" spans="1:9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52">
        <v>35000</v>
      </c>
      <c r="I17" s="52">
        <v>0</v>
      </c>
    </row>
    <row r="18" spans="1:9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52">
        <v>30000</v>
      </c>
      <c r="I18" s="52">
        <v>0</v>
      </c>
    </row>
    <row r="19" spans="1:9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52">
        <v>20000</v>
      </c>
      <c r="I19" s="52">
        <v>0</v>
      </c>
    </row>
    <row r="20" spans="1:9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52">
        <v>19000</v>
      </c>
      <c r="I20" s="52">
        <v>0</v>
      </c>
    </row>
    <row r="21" spans="1:9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52">
        <v>38000</v>
      </c>
      <c r="I21" s="52">
        <v>0</v>
      </c>
    </row>
    <row r="22" spans="1:9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52">
        <v>16000</v>
      </c>
      <c r="I22" s="52">
        <v>0</v>
      </c>
    </row>
    <row r="23" spans="1:9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52">
        <v>45000</v>
      </c>
      <c r="I23" s="52">
        <v>0</v>
      </c>
    </row>
    <row r="24" spans="1:9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52"/>
      <c r="I24" s="52"/>
    </row>
    <row r="25" spans="1:9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52">
        <v>0</v>
      </c>
      <c r="I25" s="52">
        <v>14000</v>
      </c>
    </row>
    <row r="26" spans="1:9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52">
        <v>0</v>
      </c>
      <c r="I26" s="52">
        <v>25000</v>
      </c>
    </row>
    <row r="27" spans="1:9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52">
        <v>0</v>
      </c>
      <c r="I27" s="52">
        <v>15000</v>
      </c>
    </row>
    <row r="28" spans="1:9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52">
        <v>0</v>
      </c>
      <c r="I28" s="52">
        <v>13000</v>
      </c>
    </row>
    <row r="29" spans="1:9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52"/>
      <c r="I29" s="52"/>
    </row>
    <row r="30" spans="1:9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52">
        <v>0</v>
      </c>
      <c r="I30" s="52">
        <v>27500</v>
      </c>
    </row>
    <row r="31" spans="1:9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52">
        <v>0</v>
      </c>
      <c r="I31" s="52">
        <v>25000</v>
      </c>
    </row>
    <row r="32" spans="1:9" outlineLevel="2" x14ac:dyDescent="0.25">
      <c r="A32" t="s">
        <v>70</v>
      </c>
      <c r="B32" t="s">
        <v>12</v>
      </c>
      <c r="C32">
        <v>45000</v>
      </c>
      <c r="D32" t="s">
        <v>71</v>
      </c>
      <c r="E32" t="s">
        <v>67</v>
      </c>
      <c r="H32" s="52">
        <v>20000</v>
      </c>
      <c r="I32" s="52">
        <v>25000</v>
      </c>
    </row>
    <row r="33" spans="1:9" outlineLevel="2" x14ac:dyDescent="0.25">
      <c r="A33" t="s">
        <v>72</v>
      </c>
      <c r="B33" t="s">
        <v>12</v>
      </c>
      <c r="C33">
        <v>11500</v>
      </c>
      <c r="D33" t="s">
        <v>26</v>
      </c>
      <c r="E33" t="s">
        <v>67</v>
      </c>
      <c r="H33" s="52">
        <v>0</v>
      </c>
      <c r="I33" s="52">
        <v>11500</v>
      </c>
    </row>
    <row r="34" spans="1:9" outlineLevel="1" x14ac:dyDescent="0.25">
      <c r="A34" s="1"/>
      <c r="B34" s="1"/>
      <c r="C34" s="1">
        <f>SUBTOTAL(9,C30:C33)</f>
        <v>109000</v>
      </c>
      <c r="D34" s="1"/>
      <c r="E34" s="1" t="s">
        <v>69</v>
      </c>
      <c r="F34" s="1"/>
      <c r="G34" s="1"/>
      <c r="H34" s="52"/>
      <c r="I34" s="52"/>
    </row>
    <row r="35" spans="1:9" x14ac:dyDescent="0.25">
      <c r="A35" s="1"/>
      <c r="B35" s="1"/>
      <c r="C35" s="1">
        <f>SUBTOTAL(9,C2:C33)</f>
        <v>843100</v>
      </c>
      <c r="D35" s="1"/>
      <c r="E35" s="1" t="s">
        <v>73</v>
      </c>
      <c r="F35" s="1"/>
      <c r="G35" s="1"/>
      <c r="H35" s="52"/>
      <c r="I35" s="52"/>
    </row>
    <row r="36" spans="1:9" outlineLevel="1" x14ac:dyDescent="0.25"/>
  </sheetData>
  <autoFilter ref="A1:M33" xr:uid="{00000000-0009-0000-0000-000000000000}"/>
  <sortState xmlns:xlrd2="http://schemas.microsoft.com/office/spreadsheetml/2017/richdata2" ref="A2:G33">
    <sortCondition ref="E2:E33"/>
  </sortState>
  <conditionalFormatting sqref="H2:H35">
    <cfRule type="expression" dxfId="6" priority="97" stopIfTrue="1">
      <formula>$H2&gt;=$C2</formula>
    </cfRule>
    <cfRule type="expression" dxfId="5" priority="98" stopIfTrue="1">
      <formula>AND($H2&gt;0, $H2&lt;$C2)</formula>
    </cfRule>
  </conditionalFormatting>
  <conditionalFormatting sqref="I2:I35">
    <cfRule type="expression" dxfId="4" priority="99" stopIfTrue="1">
      <formula>$I2&gt;0</formula>
    </cfRule>
  </conditionalFormatting>
  <conditionalFormatting sqref="M2:M5">
    <cfRule type="expression" dxfId="3" priority="100" stopIfTrue="1">
      <formula>$M2&gt;=$L2</formula>
    </cfRule>
    <cfRule type="expression" dxfId="2" priority="101" stopIfTrue="1">
      <formula>AND($M2&gt;0, $M2&lt;$L2)</formula>
    </cfRule>
  </conditionalFormatting>
  <conditionalFormatting sqref="N2:N5">
    <cfRule type="expression" dxfId="1" priority="102" stopIfTrue="1">
      <formula>$N2&gt;0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3"/>
  <sheetViews>
    <sheetView zoomScale="70" zoomScaleNormal="70" workbookViewId="0">
      <selection activeCell="T24" sqref="T24"/>
    </sheetView>
  </sheetViews>
  <sheetFormatPr defaultColWidth="11.42578125" defaultRowHeight="15" x14ac:dyDescent="0.25"/>
  <cols>
    <col min="1" max="1" width="31.42578125" bestFit="1" customWidth="1"/>
    <col min="2" max="2" width="25" bestFit="1" customWidth="1"/>
    <col min="3" max="3" width="18.140625" style="5" bestFit="1" customWidth="1"/>
    <col min="4" max="4" width="17.28515625" style="5" bestFit="1" customWidth="1"/>
    <col min="5" max="5" width="27.140625" style="5" bestFit="1" customWidth="1"/>
    <col min="6" max="10" width="17.42578125" style="5" customWidth="1"/>
    <col min="11" max="12" width="9.85546875" customWidth="1"/>
    <col min="13" max="14" width="12.7109375" customWidth="1"/>
    <col min="15" max="15" width="10.85546875" customWidth="1"/>
    <col min="16" max="16" width="12.42578125" customWidth="1"/>
    <col min="17" max="17" width="12.7109375" customWidth="1"/>
    <col min="18" max="20" width="12.42578125" customWidth="1"/>
    <col min="21" max="21" width="12.7109375" customWidth="1"/>
    <col min="22" max="22" width="12.42578125" customWidth="1"/>
    <col min="23" max="24" width="13.42578125" customWidth="1"/>
    <col min="25" max="25" width="12.7109375" customWidth="1"/>
    <col min="27" max="27" width="19.42578125" bestFit="1" customWidth="1"/>
    <col min="28" max="28" width="13.7109375" bestFit="1" customWidth="1"/>
    <col min="29" max="29" width="12.7109375" customWidth="1"/>
    <col min="30" max="30" width="15.7109375" bestFit="1" customWidth="1"/>
    <col min="33" max="34" width="12.7109375" customWidth="1"/>
    <col min="37" max="37" width="12.7109375" customWidth="1"/>
    <col min="40" max="40" width="11.42578125" customWidth="1"/>
    <col min="42" max="42" width="12.7109375" customWidth="1"/>
  </cols>
  <sheetData>
    <row r="1" spans="1:44" s="3" customFormat="1" x14ac:dyDescent="0.25">
      <c r="A1" s="30" t="s">
        <v>76</v>
      </c>
      <c r="B1" s="30" t="s">
        <v>80</v>
      </c>
      <c r="C1" s="30" t="s">
        <v>224</v>
      </c>
      <c r="D1" s="30" t="s">
        <v>74</v>
      </c>
      <c r="E1" s="30" t="s">
        <v>230</v>
      </c>
      <c r="F1" s="30" t="s">
        <v>74</v>
      </c>
      <c r="G1" s="30" t="s">
        <v>255</v>
      </c>
      <c r="H1" s="30" t="s">
        <v>77</v>
      </c>
      <c r="I1" s="30" t="s">
        <v>192</v>
      </c>
      <c r="J1" s="30" t="s">
        <v>74</v>
      </c>
      <c r="K1" s="30" t="s">
        <v>81</v>
      </c>
      <c r="L1" s="30" t="s">
        <v>77</v>
      </c>
      <c r="M1" s="30" t="s">
        <v>192</v>
      </c>
      <c r="N1" s="30" t="s">
        <v>74</v>
      </c>
      <c r="O1" s="30" t="s">
        <v>82</v>
      </c>
      <c r="P1" s="30" t="s">
        <v>77</v>
      </c>
      <c r="Q1" s="30" t="s">
        <v>192</v>
      </c>
      <c r="R1" s="30" t="s">
        <v>74</v>
      </c>
      <c r="S1" s="30" t="s">
        <v>228</v>
      </c>
      <c r="T1" s="30" t="s">
        <v>77</v>
      </c>
      <c r="U1" s="30" t="s">
        <v>192</v>
      </c>
      <c r="V1" s="30" t="s">
        <v>74</v>
      </c>
      <c r="W1" s="30" t="s">
        <v>83</v>
      </c>
      <c r="X1" s="30" t="s">
        <v>77</v>
      </c>
      <c r="Y1" s="30" t="s">
        <v>192</v>
      </c>
      <c r="Z1" s="30" t="s">
        <v>84</v>
      </c>
      <c r="AA1" s="37" t="s">
        <v>74</v>
      </c>
      <c r="AB1" s="37" t="s">
        <v>77</v>
      </c>
      <c r="AC1" s="30" t="s">
        <v>192</v>
      </c>
      <c r="AD1" s="37" t="s">
        <v>240</v>
      </c>
      <c r="AE1" s="30" t="s">
        <v>74</v>
      </c>
      <c r="AF1" s="30" t="s">
        <v>77</v>
      </c>
      <c r="AG1" s="30" t="s">
        <v>192</v>
      </c>
      <c r="AH1" s="30" t="s">
        <v>74</v>
      </c>
      <c r="AI1" s="30" t="s">
        <v>86</v>
      </c>
      <c r="AJ1" s="30" t="s">
        <v>77</v>
      </c>
      <c r="AK1" s="30" t="s">
        <v>192</v>
      </c>
      <c r="AL1" s="30" t="s">
        <v>74</v>
      </c>
      <c r="AM1" s="30" t="s">
        <v>208</v>
      </c>
      <c r="AN1" s="30" t="s">
        <v>87</v>
      </c>
      <c r="AO1" s="30" t="s">
        <v>77</v>
      </c>
      <c r="AP1" s="30" t="s">
        <v>192</v>
      </c>
      <c r="AQ1" s="30" t="s">
        <v>88</v>
      </c>
      <c r="AR1" s="30" t="s">
        <v>89</v>
      </c>
    </row>
    <row r="2" spans="1:44" s="3" customFormat="1" ht="18.75" x14ac:dyDescent="0.25">
      <c r="A2" s="53" t="s">
        <v>231</v>
      </c>
      <c r="B2" s="53"/>
      <c r="C2" s="53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</row>
    <row r="3" spans="1:44" x14ac:dyDescent="0.25">
      <c r="A3" s="16" t="s">
        <v>90</v>
      </c>
      <c r="B3" s="16">
        <v>9500</v>
      </c>
      <c r="C3" s="17"/>
      <c r="D3" s="18">
        <v>46240</v>
      </c>
      <c r="E3" s="17" t="s">
        <v>192</v>
      </c>
      <c r="F3" s="18">
        <v>46248</v>
      </c>
      <c r="G3" s="17" t="s">
        <v>25</v>
      </c>
      <c r="H3" s="17">
        <v>2000</v>
      </c>
      <c r="I3" s="17" t="s">
        <v>192</v>
      </c>
      <c r="J3" s="18">
        <v>46248</v>
      </c>
      <c r="K3" s="19" t="s">
        <v>91</v>
      </c>
      <c r="L3" s="19">
        <v>64700</v>
      </c>
      <c r="M3" s="19" t="s">
        <v>192</v>
      </c>
      <c r="N3" s="20">
        <v>46251</v>
      </c>
      <c r="O3" s="19" t="s">
        <v>92</v>
      </c>
      <c r="P3" s="19">
        <v>4310</v>
      </c>
      <c r="Q3" s="19" t="s">
        <v>192</v>
      </c>
      <c r="R3" s="20">
        <v>46242</v>
      </c>
      <c r="S3" s="19" t="s">
        <v>229</v>
      </c>
      <c r="T3" s="19">
        <v>35770</v>
      </c>
      <c r="U3" s="19" t="s">
        <v>192</v>
      </c>
      <c r="V3" s="20">
        <v>46242</v>
      </c>
      <c r="W3" s="19"/>
      <c r="X3" s="19">
        <v>15000</v>
      </c>
      <c r="Y3" s="19" t="s">
        <v>192</v>
      </c>
      <c r="Z3" s="19" t="s">
        <v>193</v>
      </c>
      <c r="AA3" s="20">
        <v>46235</v>
      </c>
      <c r="AB3" s="19">
        <v>4300</v>
      </c>
      <c r="AC3" s="19"/>
      <c r="AD3" s="19" t="s">
        <v>92</v>
      </c>
      <c r="AE3" s="19"/>
      <c r="AF3" s="19"/>
      <c r="AG3" s="19"/>
      <c r="AH3" s="20">
        <v>46245</v>
      </c>
      <c r="AI3" s="19" t="s">
        <v>93</v>
      </c>
      <c r="AJ3" s="19">
        <v>3000</v>
      </c>
      <c r="AK3" s="19" t="s">
        <v>192</v>
      </c>
      <c r="AL3" s="19"/>
      <c r="AM3" s="19"/>
      <c r="AN3" s="19" t="s">
        <v>94</v>
      </c>
      <c r="AO3" s="19">
        <v>3500</v>
      </c>
      <c r="AP3" s="19"/>
      <c r="AQ3" s="21">
        <v>344883</v>
      </c>
      <c r="AR3" s="19" t="s">
        <v>95</v>
      </c>
    </row>
    <row r="4" spans="1:44" x14ac:dyDescent="0.25">
      <c r="A4" s="16" t="s">
        <v>96</v>
      </c>
      <c r="B4" s="16">
        <v>10500</v>
      </c>
      <c r="C4" s="17" t="s">
        <v>97</v>
      </c>
      <c r="D4" s="18">
        <v>46240</v>
      </c>
      <c r="E4" s="17" t="s">
        <v>192</v>
      </c>
      <c r="F4" s="17"/>
      <c r="G4" s="17"/>
      <c r="H4" s="17"/>
      <c r="I4" s="17"/>
      <c r="J4" s="18">
        <v>46248</v>
      </c>
      <c r="K4" s="19" t="s">
        <v>98</v>
      </c>
      <c r="L4" s="19">
        <v>78280</v>
      </c>
      <c r="M4" s="19" t="s">
        <v>192</v>
      </c>
      <c r="N4" s="20">
        <v>46251</v>
      </c>
      <c r="O4" s="19" t="s">
        <v>99</v>
      </c>
      <c r="P4" s="19">
        <v>16730</v>
      </c>
      <c r="Q4" s="19" t="s">
        <v>192</v>
      </c>
      <c r="R4" s="20">
        <v>46248</v>
      </c>
      <c r="S4" s="19" t="s">
        <v>229</v>
      </c>
      <c r="T4" s="19">
        <v>28300</v>
      </c>
      <c r="U4" s="19" t="s">
        <v>192</v>
      </c>
      <c r="V4" s="20">
        <v>46248</v>
      </c>
      <c r="W4" s="19"/>
      <c r="X4" s="19">
        <v>15000</v>
      </c>
      <c r="Y4" s="19" t="s">
        <v>192</v>
      </c>
      <c r="Z4" s="19"/>
      <c r="AA4" s="19"/>
      <c r="AB4" s="19"/>
      <c r="AC4" s="19"/>
      <c r="AD4" s="19" t="s">
        <v>100</v>
      </c>
      <c r="AE4" s="19"/>
      <c r="AF4" s="19"/>
      <c r="AG4" s="19"/>
      <c r="AH4" s="20">
        <v>46245</v>
      </c>
      <c r="AI4" s="19" t="s">
        <v>101</v>
      </c>
      <c r="AJ4" s="19">
        <v>9000</v>
      </c>
      <c r="AK4" s="19" t="s">
        <v>192</v>
      </c>
      <c r="AL4" s="19"/>
      <c r="AM4" s="19"/>
      <c r="AN4" s="19" t="s">
        <v>102</v>
      </c>
      <c r="AO4" s="19">
        <v>4000</v>
      </c>
      <c r="AP4" s="19"/>
      <c r="AQ4" s="22">
        <v>164240</v>
      </c>
      <c r="AR4" s="19" t="s">
        <v>103</v>
      </c>
    </row>
    <row r="5" spans="1:44" x14ac:dyDescent="0.25">
      <c r="A5" s="16" t="s">
        <v>104</v>
      </c>
      <c r="B5" s="16">
        <v>10500</v>
      </c>
      <c r="C5" s="17"/>
      <c r="D5" s="18">
        <v>46240</v>
      </c>
      <c r="E5" s="17" t="s">
        <v>192</v>
      </c>
      <c r="F5" s="17"/>
      <c r="G5" s="17"/>
      <c r="H5" s="17"/>
      <c r="I5" s="17"/>
      <c r="J5" s="18">
        <v>46251</v>
      </c>
      <c r="K5" s="19" t="s">
        <v>105</v>
      </c>
      <c r="L5" s="19">
        <v>14640</v>
      </c>
      <c r="M5" s="19" t="s">
        <v>192</v>
      </c>
      <c r="N5" s="20">
        <v>46251</v>
      </c>
      <c r="O5" s="19" t="s">
        <v>106</v>
      </c>
      <c r="P5" s="19">
        <v>18810</v>
      </c>
      <c r="Q5" s="19" t="s">
        <v>192</v>
      </c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 t="s">
        <v>107</v>
      </c>
      <c r="AE5" s="19"/>
      <c r="AF5" s="19"/>
      <c r="AG5" s="19"/>
      <c r="AH5" s="19"/>
      <c r="AI5" s="19" t="s">
        <v>108</v>
      </c>
      <c r="AJ5" s="19"/>
      <c r="AK5" s="19"/>
      <c r="AL5" s="20">
        <v>46239</v>
      </c>
      <c r="AM5" s="19" t="s">
        <v>12</v>
      </c>
      <c r="AN5" s="19" t="s">
        <v>209</v>
      </c>
      <c r="AO5" s="19">
        <v>4000</v>
      </c>
      <c r="AP5" s="19"/>
      <c r="AQ5" s="19">
        <v>52000</v>
      </c>
      <c r="AR5" s="19" t="s">
        <v>109</v>
      </c>
    </row>
    <row r="6" spans="1:44" x14ac:dyDescent="0.25">
      <c r="A6" s="16" t="s">
        <v>25</v>
      </c>
      <c r="B6" s="16">
        <v>12500</v>
      </c>
      <c r="C6" s="17"/>
      <c r="D6" s="18">
        <v>46235</v>
      </c>
      <c r="E6" s="17" t="s">
        <v>192</v>
      </c>
      <c r="F6" s="17"/>
      <c r="G6" s="17"/>
      <c r="H6" s="17"/>
      <c r="I6" s="17"/>
      <c r="J6" s="18">
        <v>46251</v>
      </c>
      <c r="K6" s="19" t="s">
        <v>110</v>
      </c>
      <c r="L6" s="19">
        <v>6840</v>
      </c>
      <c r="M6" s="19" t="s">
        <v>192</v>
      </c>
      <c r="N6" s="20">
        <v>46251</v>
      </c>
      <c r="O6" s="19" t="s">
        <v>111</v>
      </c>
      <c r="P6" s="19">
        <v>7890</v>
      </c>
      <c r="Q6" s="19" t="s">
        <v>192</v>
      </c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 t="s">
        <v>110</v>
      </c>
      <c r="AE6" s="19"/>
      <c r="AF6" s="19"/>
      <c r="AG6" s="19"/>
      <c r="AH6" s="20">
        <v>49901</v>
      </c>
      <c r="AI6" s="19" t="s">
        <v>252</v>
      </c>
      <c r="AJ6" s="19">
        <v>5000</v>
      </c>
      <c r="AK6" s="19" t="s">
        <v>192</v>
      </c>
      <c r="AL6" s="19"/>
      <c r="AM6" s="19"/>
      <c r="AN6" s="19"/>
      <c r="AO6" s="19"/>
      <c r="AP6" s="19"/>
      <c r="AQ6" s="19">
        <f>SUM(AQ3:AQ5)</f>
        <v>561123</v>
      </c>
      <c r="AR6" s="19" t="s">
        <v>112</v>
      </c>
    </row>
    <row r="7" spans="1:44" x14ac:dyDescent="0.25">
      <c r="A7" s="22" t="s">
        <v>113</v>
      </c>
      <c r="B7" s="22">
        <v>8500</v>
      </c>
      <c r="C7" s="17" t="s">
        <v>114</v>
      </c>
      <c r="D7" s="18">
        <v>46239</v>
      </c>
      <c r="E7" s="17" t="s">
        <v>192</v>
      </c>
      <c r="F7" s="17"/>
      <c r="G7" s="17"/>
      <c r="H7" s="17"/>
      <c r="I7" s="17"/>
      <c r="J7" s="17"/>
      <c r="K7" s="19" t="s">
        <v>115</v>
      </c>
      <c r="L7" s="19"/>
      <c r="M7" s="19"/>
      <c r="N7" s="19"/>
      <c r="O7" s="19" t="s">
        <v>238</v>
      </c>
      <c r="P7" s="22">
        <f>SUM(P3:P6)</f>
        <v>47740</v>
      </c>
      <c r="Q7" s="22"/>
      <c r="R7" s="22"/>
      <c r="S7" s="22"/>
      <c r="T7" s="22"/>
      <c r="U7" s="22"/>
      <c r="V7" s="22"/>
      <c r="W7" s="19"/>
      <c r="X7" s="19"/>
      <c r="Y7" s="19"/>
      <c r="Z7" s="19"/>
      <c r="AA7" s="19"/>
      <c r="AB7" s="19"/>
      <c r="AC7" s="19"/>
      <c r="AD7" s="19" t="s">
        <v>116</v>
      </c>
      <c r="AE7" s="20">
        <v>46235</v>
      </c>
      <c r="AF7" s="19">
        <v>1000</v>
      </c>
      <c r="AG7" s="19" t="s">
        <v>192</v>
      </c>
      <c r="AH7" s="20">
        <v>46251</v>
      </c>
      <c r="AI7" s="19" t="s">
        <v>252</v>
      </c>
      <c r="AJ7" s="19">
        <v>5000</v>
      </c>
      <c r="AK7" s="19" t="s">
        <v>192</v>
      </c>
      <c r="AL7" s="19"/>
      <c r="AM7" s="19"/>
      <c r="AN7" s="19"/>
      <c r="AO7" s="19"/>
      <c r="AP7" s="19"/>
      <c r="AQ7" s="19"/>
      <c r="AR7" s="19" t="s">
        <v>111</v>
      </c>
    </row>
    <row r="8" spans="1:44" x14ac:dyDescent="0.25">
      <c r="A8" s="22" t="s">
        <v>117</v>
      </c>
      <c r="B8" s="22">
        <v>3000</v>
      </c>
      <c r="C8" s="17"/>
      <c r="D8" s="18">
        <v>49892</v>
      </c>
      <c r="E8" s="17" t="s">
        <v>192</v>
      </c>
      <c r="F8" s="17"/>
      <c r="G8" s="17"/>
      <c r="H8" s="17"/>
      <c r="I8" s="17"/>
      <c r="J8" s="17"/>
      <c r="K8" s="19" t="s">
        <v>238</v>
      </c>
      <c r="L8">
        <f>SUM(L3:L7)</f>
        <v>164460</v>
      </c>
      <c r="M8" s="22"/>
      <c r="N8" s="22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 t="s">
        <v>118</v>
      </c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 t="s">
        <v>119</v>
      </c>
    </row>
    <row r="9" spans="1:44" x14ac:dyDescent="0.25">
      <c r="A9" s="23" t="s">
        <v>120</v>
      </c>
      <c r="B9" s="23">
        <v>14000</v>
      </c>
      <c r="C9" s="17"/>
      <c r="D9" s="18">
        <v>46235</v>
      </c>
      <c r="E9" s="17" t="s">
        <v>192</v>
      </c>
      <c r="F9" s="17"/>
      <c r="G9" s="17"/>
      <c r="H9" s="17"/>
      <c r="I9" s="17"/>
      <c r="J9" s="1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24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</row>
    <row r="10" spans="1:44" x14ac:dyDescent="0.25">
      <c r="A10" s="23" t="s">
        <v>121</v>
      </c>
      <c r="B10" s="23">
        <v>13000</v>
      </c>
      <c r="C10" s="17" t="s">
        <v>122</v>
      </c>
      <c r="D10" s="18">
        <v>46235</v>
      </c>
      <c r="E10" s="17" t="s">
        <v>192</v>
      </c>
      <c r="F10" s="17"/>
      <c r="G10" s="17"/>
      <c r="H10" s="17"/>
      <c r="I10" s="17"/>
      <c r="J10" s="17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 t="s">
        <v>116</v>
      </c>
      <c r="AE10" s="20">
        <v>46241</v>
      </c>
      <c r="AF10" s="19">
        <v>1500</v>
      </c>
      <c r="AG10" s="19" t="s">
        <v>192</v>
      </c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44" x14ac:dyDescent="0.25">
      <c r="A11" s="23" t="s">
        <v>123</v>
      </c>
      <c r="B11" s="23">
        <v>10500</v>
      </c>
      <c r="C11" s="17"/>
      <c r="D11" s="18">
        <v>46239</v>
      </c>
      <c r="E11" s="17" t="s">
        <v>192</v>
      </c>
      <c r="F11" s="17"/>
      <c r="G11" s="17"/>
      <c r="H11" s="17"/>
      <c r="I11" s="17"/>
      <c r="J11" s="17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 t="s">
        <v>116</v>
      </c>
      <c r="AE11" s="20">
        <v>46248</v>
      </c>
      <c r="AF11" s="19">
        <v>1500</v>
      </c>
      <c r="AG11" s="19" t="s">
        <v>192</v>
      </c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</row>
    <row r="12" spans="1:44" x14ac:dyDescent="0.25">
      <c r="A12" s="25" t="s">
        <v>124</v>
      </c>
      <c r="B12" s="25">
        <v>10500</v>
      </c>
      <c r="C12" s="17" t="s">
        <v>8</v>
      </c>
      <c r="D12" s="18">
        <v>46245</v>
      </c>
      <c r="E12" s="17" t="s">
        <v>192</v>
      </c>
      <c r="F12" s="17"/>
      <c r="G12" s="17"/>
      <c r="H12" s="17"/>
      <c r="I12" s="17"/>
      <c r="J12" s="1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 t="s">
        <v>116</v>
      </c>
      <c r="AE12" s="20">
        <v>46251</v>
      </c>
      <c r="AF12" s="19">
        <v>1500</v>
      </c>
      <c r="AG12" s="19" t="s">
        <v>192</v>
      </c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44" x14ac:dyDescent="0.25">
      <c r="A13" s="26" t="s">
        <v>125</v>
      </c>
      <c r="B13" s="26">
        <v>9000</v>
      </c>
      <c r="C13" s="17"/>
      <c r="D13" s="18">
        <v>46239</v>
      </c>
      <c r="E13" s="17" t="s">
        <v>192</v>
      </c>
      <c r="F13" s="17"/>
      <c r="G13" s="17"/>
      <c r="H13" s="17"/>
      <c r="I13" s="17"/>
      <c r="J13" s="17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 t="s">
        <v>116</v>
      </c>
      <c r="AE13" s="20">
        <v>46254</v>
      </c>
      <c r="AF13" s="19">
        <v>1000</v>
      </c>
      <c r="AG13" s="19" t="s">
        <v>192</v>
      </c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</row>
    <row r="14" spans="1:44" x14ac:dyDescent="0.25">
      <c r="A14" s="26" t="s">
        <v>126</v>
      </c>
      <c r="B14" s="26">
        <v>8750</v>
      </c>
      <c r="C14" s="17">
        <v>56</v>
      </c>
      <c r="D14" s="18">
        <v>46239</v>
      </c>
      <c r="E14" s="17" t="s">
        <v>192</v>
      </c>
      <c r="F14" s="17"/>
      <c r="G14" s="17"/>
      <c r="H14" s="17"/>
      <c r="I14" s="17"/>
      <c r="J14" s="17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</row>
    <row r="15" spans="1:44" x14ac:dyDescent="0.25">
      <c r="A15" s="27" t="s">
        <v>127</v>
      </c>
      <c r="B15" s="27">
        <v>5000</v>
      </c>
      <c r="C15" s="17" t="s">
        <v>12</v>
      </c>
      <c r="D15" s="18">
        <v>46244</v>
      </c>
      <c r="E15" s="17" t="s">
        <v>192</v>
      </c>
      <c r="F15" s="17"/>
      <c r="G15" s="17"/>
      <c r="H15" s="17"/>
      <c r="I15" s="17"/>
      <c r="J15" s="17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</row>
    <row r="16" spans="1:44" x14ac:dyDescent="0.25">
      <c r="A16" s="27" t="s">
        <v>128</v>
      </c>
      <c r="B16" s="27">
        <v>10000</v>
      </c>
      <c r="C16" s="17" t="s">
        <v>12</v>
      </c>
      <c r="D16" s="18">
        <v>46244</v>
      </c>
      <c r="E16" s="17" t="s">
        <v>192</v>
      </c>
      <c r="F16" s="17"/>
      <c r="G16" s="17"/>
      <c r="H16" s="17"/>
      <c r="I16" s="17"/>
      <c r="J16" s="17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</row>
    <row r="17" spans="1:44" x14ac:dyDescent="0.25">
      <c r="A17" s="19" t="s">
        <v>129</v>
      </c>
      <c r="B17" s="19">
        <v>11000</v>
      </c>
      <c r="C17" s="17" t="s">
        <v>130</v>
      </c>
      <c r="D17" s="18">
        <v>46235</v>
      </c>
      <c r="E17" s="17" t="s">
        <v>192</v>
      </c>
      <c r="F17" s="17"/>
      <c r="G17" s="17"/>
      <c r="H17" s="17"/>
      <c r="I17" s="17"/>
      <c r="J17" s="17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</row>
    <row r="18" spans="1:44" x14ac:dyDescent="0.25">
      <c r="A18" s="19" t="s">
        <v>131</v>
      </c>
      <c r="B18" s="19">
        <v>5000</v>
      </c>
      <c r="C18" s="17" t="s">
        <v>130</v>
      </c>
      <c r="D18" s="18">
        <v>46239</v>
      </c>
      <c r="E18" s="17" t="s">
        <v>192</v>
      </c>
      <c r="F18" s="17"/>
      <c r="G18" s="17"/>
      <c r="H18" s="17"/>
      <c r="I18" s="17"/>
      <c r="J18" s="17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</row>
    <row r="19" spans="1:44" x14ac:dyDescent="0.25">
      <c r="A19" s="19" t="s">
        <v>132</v>
      </c>
      <c r="B19" s="19">
        <v>11000</v>
      </c>
      <c r="C19" s="17" t="s">
        <v>130</v>
      </c>
      <c r="D19" s="28">
        <v>46235</v>
      </c>
      <c r="E19" s="17" t="s">
        <v>192</v>
      </c>
      <c r="F19" s="17"/>
      <c r="G19" s="17"/>
      <c r="H19" s="17"/>
      <c r="I19" s="17"/>
      <c r="J19" s="17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</row>
    <row r="20" spans="1:44" x14ac:dyDescent="0.25">
      <c r="A20" s="19" t="s">
        <v>133</v>
      </c>
      <c r="B20" s="19">
        <v>50000</v>
      </c>
      <c r="C20" s="17"/>
      <c r="D20" s="17"/>
      <c r="E20" s="17"/>
      <c r="F20" s="17"/>
      <c r="G20" s="17"/>
      <c r="H20" s="17"/>
      <c r="I20" s="17"/>
      <c r="J20" s="17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</row>
    <row r="21" spans="1:44" x14ac:dyDescent="0.25">
      <c r="A21" s="19" t="s">
        <v>134</v>
      </c>
      <c r="B21" s="29">
        <v>1600</v>
      </c>
      <c r="C21" s="17"/>
      <c r="D21" s="18">
        <v>46242</v>
      </c>
      <c r="E21" s="17" t="s">
        <v>192</v>
      </c>
      <c r="F21" s="17"/>
      <c r="G21" s="17"/>
      <c r="H21" s="17"/>
      <c r="I21" s="17"/>
      <c r="J21" s="17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</row>
    <row r="22" spans="1:44" x14ac:dyDescent="0.25">
      <c r="A22" s="19" t="s">
        <v>135</v>
      </c>
      <c r="B22" s="19">
        <v>23000</v>
      </c>
      <c r="C22" s="17"/>
      <c r="D22" s="18">
        <v>46235</v>
      </c>
      <c r="E22" s="17" t="s">
        <v>192</v>
      </c>
      <c r="F22" s="17"/>
      <c r="G22" s="17"/>
      <c r="H22" s="17"/>
      <c r="I22" s="17"/>
      <c r="J22" s="17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</row>
    <row r="23" spans="1:44" x14ac:dyDescent="0.25">
      <c r="A23" s="19" t="s">
        <v>227</v>
      </c>
      <c r="B23" s="19">
        <v>2500</v>
      </c>
      <c r="C23" s="17" t="s">
        <v>229</v>
      </c>
      <c r="D23" s="18">
        <v>46242</v>
      </c>
      <c r="E23" s="17" t="s">
        <v>192</v>
      </c>
      <c r="F23" s="17"/>
      <c r="G23" s="17"/>
      <c r="H23" s="17"/>
      <c r="I23" s="17"/>
      <c r="J23" s="17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</row>
    <row r="24" spans="1:44" x14ac:dyDescent="0.25">
      <c r="A24" s="19" t="s">
        <v>227</v>
      </c>
      <c r="B24" s="19">
        <v>2500</v>
      </c>
      <c r="C24" s="17" t="s">
        <v>229</v>
      </c>
      <c r="D24" s="18"/>
      <c r="E24" s="17"/>
      <c r="F24" s="17"/>
      <c r="G24" s="17"/>
      <c r="H24" s="17"/>
      <c r="I24" s="17"/>
      <c r="J24" s="17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</row>
    <row r="25" spans="1:44" x14ac:dyDescent="0.25">
      <c r="A25" s="19" t="s">
        <v>227</v>
      </c>
      <c r="B25" s="19">
        <v>2500</v>
      </c>
      <c r="C25" s="17" t="s">
        <v>229</v>
      </c>
      <c r="D25" s="18"/>
      <c r="E25" s="17"/>
      <c r="F25" s="17"/>
      <c r="G25" s="17"/>
      <c r="H25" s="17"/>
      <c r="I25" s="17"/>
      <c r="J25" s="17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</row>
    <row r="26" spans="1:44" x14ac:dyDescent="0.25">
      <c r="A26" s="19" t="s">
        <v>227</v>
      </c>
      <c r="B26" s="19">
        <v>2500</v>
      </c>
      <c r="C26" s="17" t="s">
        <v>229</v>
      </c>
      <c r="D26" s="18"/>
      <c r="E26" s="17"/>
      <c r="F26" s="17"/>
      <c r="G26" s="17"/>
      <c r="H26" s="17"/>
      <c r="I26" s="17"/>
      <c r="J26" s="17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</row>
    <row r="27" spans="1:44" x14ac:dyDescent="0.25">
      <c r="A27" s="19" t="s">
        <v>194</v>
      </c>
      <c r="B27" s="19">
        <v>10000</v>
      </c>
      <c r="C27" s="17"/>
      <c r="D27" s="18">
        <v>46235</v>
      </c>
      <c r="E27" s="17" t="s">
        <v>192</v>
      </c>
      <c r="F27" s="17"/>
      <c r="G27" s="17"/>
      <c r="H27" s="17"/>
      <c r="I27" s="17"/>
      <c r="J27" s="17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spans="1:44" x14ac:dyDescent="0.25">
      <c r="A28" s="19" t="s">
        <v>225</v>
      </c>
      <c r="B28" s="19">
        <v>21000</v>
      </c>
      <c r="C28" s="17" t="s">
        <v>8</v>
      </c>
      <c r="D28" s="18">
        <v>46253</v>
      </c>
      <c r="E28" s="17" t="s">
        <v>192</v>
      </c>
      <c r="F28" s="17"/>
      <c r="G28" s="17"/>
      <c r="H28" s="17"/>
      <c r="I28" s="17"/>
      <c r="J28" s="17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spans="1:44" x14ac:dyDescent="0.25">
      <c r="A29" s="19" t="s">
        <v>226</v>
      </c>
      <c r="B29" s="19">
        <v>5000</v>
      </c>
      <c r="C29" s="17" t="s">
        <v>8</v>
      </c>
      <c r="D29" s="18">
        <v>46253</v>
      </c>
      <c r="E29" s="17" t="s">
        <v>192</v>
      </c>
      <c r="F29" s="17"/>
      <c r="G29" s="17"/>
      <c r="H29" s="17"/>
      <c r="I29" s="17"/>
      <c r="J29" s="17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spans="1:44" x14ac:dyDescent="0.25">
      <c r="A30" s="19" t="s">
        <v>241</v>
      </c>
      <c r="B30" s="19">
        <v>12000</v>
      </c>
      <c r="C30" s="17" t="s">
        <v>12</v>
      </c>
      <c r="D30" s="18">
        <v>46247</v>
      </c>
      <c r="E30" s="17" t="s">
        <v>192</v>
      </c>
      <c r="F30" s="17"/>
      <c r="G30" s="17"/>
      <c r="H30" s="17"/>
      <c r="I30" s="17"/>
      <c r="J30" s="17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1" spans="1:44" x14ac:dyDescent="0.25">
      <c r="A31" s="19" t="s">
        <v>238</v>
      </c>
      <c r="B31" s="19">
        <f>SUM(B3:B30)</f>
        <v>294850</v>
      </c>
      <c r="C31" s="17"/>
      <c r="D31" s="17"/>
      <c r="E31" s="17"/>
      <c r="F31" s="17"/>
      <c r="G31" s="17"/>
      <c r="H31" s="17"/>
      <c r="I31" s="17"/>
      <c r="J31" s="17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</row>
    <row r="32" spans="1:44" x14ac:dyDescent="0.25">
      <c r="C32"/>
      <c r="D32"/>
      <c r="E32"/>
      <c r="F32"/>
      <c r="G32"/>
      <c r="H32"/>
      <c r="I32"/>
      <c r="J32"/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x14ac:dyDescent="0.25">
      <c r="A35" s="37" t="s">
        <v>239</v>
      </c>
      <c r="B35" s="37" t="s">
        <v>248</v>
      </c>
      <c r="C35" s="37" t="s">
        <v>188</v>
      </c>
      <c r="D35" s="37" t="s">
        <v>237</v>
      </c>
      <c r="E35" s="37" t="s">
        <v>236</v>
      </c>
      <c r="F35"/>
      <c r="G35"/>
      <c r="H35"/>
      <c r="I35"/>
      <c r="J35"/>
    </row>
    <row r="36" spans="1:10" x14ac:dyDescent="0.25">
      <c r="A36" s="38">
        <v>612100</v>
      </c>
      <c r="B36" s="38">
        <v>43175</v>
      </c>
      <c r="C36" s="38">
        <v>574120</v>
      </c>
      <c r="D36" s="38">
        <v>285500</v>
      </c>
      <c r="E36" s="39">
        <v>-5195</v>
      </c>
      <c r="F36"/>
      <c r="G36"/>
      <c r="H36"/>
      <c r="I36"/>
      <c r="J36"/>
    </row>
    <row r="37" spans="1:10" x14ac:dyDescent="0.25">
      <c r="C37"/>
      <c r="D37"/>
      <c r="E37"/>
      <c r="F37"/>
      <c r="G37"/>
      <c r="H37"/>
      <c r="I37"/>
      <c r="J37"/>
    </row>
    <row r="38" spans="1:10" x14ac:dyDescent="0.25">
      <c r="C38"/>
      <c r="D38"/>
      <c r="E38"/>
      <c r="F38"/>
      <c r="G38"/>
      <c r="H38"/>
      <c r="I38"/>
      <c r="J38"/>
    </row>
    <row r="39" spans="1:10" x14ac:dyDescent="0.25">
      <c r="C39"/>
      <c r="D39"/>
      <c r="E39"/>
      <c r="F39"/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C42"/>
      <c r="D42"/>
      <c r="E42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</sheetData>
  <autoFilter ref="A1:L1" xr:uid="{00000000-0009-0000-0000-000001000000}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9ECEB-E7F9-47EF-8187-8FF50B0977BF}">
  <sheetPr codeName="Sheet4"/>
  <dimension ref="A1:AR41"/>
  <sheetViews>
    <sheetView zoomScale="70" zoomScaleNormal="70" workbookViewId="0">
      <selection activeCell="AF35" sqref="A32:AF35"/>
    </sheetView>
  </sheetViews>
  <sheetFormatPr defaultColWidth="11.42578125" defaultRowHeight="15" x14ac:dyDescent="0.25"/>
  <cols>
    <col min="3" max="5" width="10.85546875" style="5" customWidth="1"/>
    <col min="6" max="7" width="9.85546875" customWidth="1"/>
    <col min="8" max="8" width="12.7109375" customWidth="1"/>
    <col min="9" max="9" width="10.85546875" customWidth="1"/>
    <col min="10" max="10" width="12.42578125" customWidth="1"/>
    <col min="11" max="11" width="12.7109375" customWidth="1"/>
    <col min="12" max="14" width="12.42578125" customWidth="1"/>
    <col min="15" max="15" width="12.7109375" customWidth="1"/>
    <col min="16" max="16" width="12.42578125" customWidth="1"/>
    <col min="17" max="18" width="13.42578125" customWidth="1"/>
    <col min="19" max="19" width="12.7109375" customWidth="1"/>
    <col min="23" max="23" width="12.7109375" customWidth="1"/>
    <col min="27" max="27" width="12.7109375" customWidth="1"/>
    <col min="30" max="30" width="12.7109375" customWidth="1"/>
    <col min="33" max="33" width="11.42578125" customWidth="1"/>
    <col min="35" max="35" width="12.7109375" customWidth="1"/>
  </cols>
  <sheetData>
    <row r="1" spans="1:44" s="3" customFormat="1" x14ac:dyDescent="0.25">
      <c r="A1" s="30" t="s">
        <v>76</v>
      </c>
      <c r="B1" s="30" t="s">
        <v>80</v>
      </c>
      <c r="C1" s="30" t="s">
        <v>224</v>
      </c>
      <c r="D1" s="30" t="s">
        <v>74</v>
      </c>
      <c r="E1" s="30" t="s">
        <v>230</v>
      </c>
      <c r="F1" s="30" t="s">
        <v>81</v>
      </c>
      <c r="G1" s="30" t="s">
        <v>77</v>
      </c>
      <c r="H1" s="30" t="s">
        <v>192</v>
      </c>
      <c r="I1" s="30" t="s">
        <v>82</v>
      </c>
      <c r="J1" s="30" t="s">
        <v>77</v>
      </c>
      <c r="K1" s="30" t="s">
        <v>192</v>
      </c>
      <c r="L1" s="30" t="s">
        <v>74</v>
      </c>
      <c r="M1" s="30" t="s">
        <v>228</v>
      </c>
      <c r="N1" s="30" t="s">
        <v>77</v>
      </c>
      <c r="O1" s="30" t="s">
        <v>192</v>
      </c>
      <c r="P1" s="30" t="s">
        <v>74</v>
      </c>
      <c r="Q1" s="30" t="s">
        <v>83</v>
      </c>
      <c r="R1" s="30" t="s">
        <v>77</v>
      </c>
      <c r="S1" s="30" t="s">
        <v>192</v>
      </c>
      <c r="T1" s="30" t="s">
        <v>84</v>
      </c>
      <c r="U1" s="30" t="s">
        <v>74</v>
      </c>
      <c r="V1" s="30" t="s">
        <v>77</v>
      </c>
      <c r="W1" s="30" t="s">
        <v>192</v>
      </c>
      <c r="X1" s="30" t="s">
        <v>85</v>
      </c>
      <c r="Y1" s="30" t="s">
        <v>74</v>
      </c>
      <c r="Z1" s="30" t="s">
        <v>77</v>
      </c>
      <c r="AA1" s="30" t="s">
        <v>192</v>
      </c>
      <c r="AB1" s="30" t="s">
        <v>86</v>
      </c>
      <c r="AC1" s="30" t="s">
        <v>77</v>
      </c>
      <c r="AD1" s="30" t="s">
        <v>192</v>
      </c>
      <c r="AE1" s="30" t="s">
        <v>74</v>
      </c>
      <c r="AF1" s="30" t="s">
        <v>208</v>
      </c>
      <c r="AG1" s="30" t="s">
        <v>87</v>
      </c>
      <c r="AH1" s="30" t="s">
        <v>77</v>
      </c>
      <c r="AI1" s="30" t="s">
        <v>192</v>
      </c>
      <c r="AJ1" s="30" t="s">
        <v>88</v>
      </c>
      <c r="AK1" s="30" t="s">
        <v>89</v>
      </c>
    </row>
    <row r="2" spans="1:44" s="3" customFormat="1" ht="18.75" x14ac:dyDescent="0.25">
      <c r="A2" s="53" t="s">
        <v>231</v>
      </c>
      <c r="B2" s="53"/>
      <c r="C2" s="53"/>
      <c r="D2" s="31"/>
      <c r="E2" s="31"/>
      <c r="F2" s="31"/>
      <c r="G2" s="31"/>
      <c r="H2" s="31"/>
      <c r="I2" s="31"/>
      <c r="J2" s="31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</row>
    <row r="3" spans="1:44" x14ac:dyDescent="0.25">
      <c r="A3" s="16" t="s">
        <v>90</v>
      </c>
      <c r="B3" s="16">
        <v>9500</v>
      </c>
      <c r="C3" s="17"/>
      <c r="D3" s="18">
        <v>46240</v>
      </c>
      <c r="E3" s="17" t="s">
        <v>192</v>
      </c>
      <c r="F3" s="18">
        <v>46248</v>
      </c>
      <c r="G3" s="17" t="s">
        <v>25</v>
      </c>
      <c r="H3" s="17">
        <v>2000</v>
      </c>
      <c r="I3" s="17" t="s">
        <v>192</v>
      </c>
      <c r="J3" s="18">
        <v>46248</v>
      </c>
      <c r="K3" s="19" t="s">
        <v>91</v>
      </c>
      <c r="L3" s="19">
        <v>64700</v>
      </c>
      <c r="M3" s="19" t="s">
        <v>192</v>
      </c>
      <c r="N3" s="20">
        <v>46251</v>
      </c>
      <c r="O3" s="19" t="s">
        <v>92</v>
      </c>
      <c r="P3" s="19">
        <v>4310</v>
      </c>
      <c r="Q3" s="19" t="s">
        <v>192</v>
      </c>
      <c r="R3" s="20">
        <v>46242</v>
      </c>
      <c r="S3" s="19" t="s">
        <v>229</v>
      </c>
      <c r="T3" s="19">
        <v>35770</v>
      </c>
      <c r="U3" s="19" t="s">
        <v>192</v>
      </c>
      <c r="V3" s="20">
        <v>46242</v>
      </c>
      <c r="W3" s="19"/>
      <c r="X3" s="19">
        <v>15000</v>
      </c>
      <c r="Y3" s="19" t="s">
        <v>192</v>
      </c>
      <c r="Z3" s="19" t="s">
        <v>193</v>
      </c>
      <c r="AA3" s="20">
        <v>46235</v>
      </c>
      <c r="AB3" s="19">
        <v>4300</v>
      </c>
      <c r="AC3" s="19"/>
      <c r="AD3" s="19" t="s">
        <v>92</v>
      </c>
      <c r="AE3" s="19"/>
      <c r="AF3" s="19"/>
      <c r="AG3" s="19"/>
      <c r="AH3" s="20">
        <v>46245</v>
      </c>
      <c r="AI3" s="19" t="s">
        <v>93</v>
      </c>
      <c r="AJ3" s="19">
        <v>3000</v>
      </c>
      <c r="AK3" s="19" t="s">
        <v>192</v>
      </c>
      <c r="AL3" s="19"/>
      <c r="AM3" s="19"/>
      <c r="AN3" s="19" t="s">
        <v>94</v>
      </c>
      <c r="AO3" s="19">
        <v>3500</v>
      </c>
      <c r="AP3" s="19"/>
      <c r="AQ3" s="21">
        <v>344883</v>
      </c>
      <c r="AR3" s="19" t="s">
        <v>95</v>
      </c>
    </row>
    <row r="4" spans="1:44" x14ac:dyDescent="0.25">
      <c r="A4" s="16" t="s">
        <v>96</v>
      </c>
      <c r="B4" s="16">
        <v>10500</v>
      </c>
      <c r="C4" s="17" t="s">
        <v>97</v>
      </c>
      <c r="D4" s="18">
        <v>46240</v>
      </c>
      <c r="E4" s="17" t="s">
        <v>192</v>
      </c>
      <c r="F4" s="17"/>
      <c r="G4" s="17"/>
      <c r="H4" s="17"/>
      <c r="I4" s="17"/>
      <c r="J4" s="18">
        <v>46248</v>
      </c>
      <c r="K4" s="19" t="s">
        <v>98</v>
      </c>
      <c r="L4" s="19">
        <v>78280</v>
      </c>
      <c r="M4" s="19" t="s">
        <v>192</v>
      </c>
      <c r="N4" s="20">
        <v>46251</v>
      </c>
      <c r="O4" s="19" t="s">
        <v>99</v>
      </c>
      <c r="P4" s="19">
        <v>16730</v>
      </c>
      <c r="Q4" s="19" t="s">
        <v>192</v>
      </c>
      <c r="R4" s="20">
        <v>46248</v>
      </c>
      <c r="S4" s="19" t="s">
        <v>229</v>
      </c>
      <c r="T4" s="19">
        <v>28300</v>
      </c>
      <c r="U4" s="19" t="s">
        <v>192</v>
      </c>
      <c r="V4" s="20">
        <v>46248</v>
      </c>
      <c r="W4" s="19"/>
      <c r="X4" s="19">
        <v>15000</v>
      </c>
      <c r="Y4" s="19" t="s">
        <v>192</v>
      </c>
      <c r="Z4" s="19"/>
      <c r="AA4" s="19"/>
      <c r="AB4" s="19"/>
      <c r="AC4" s="19"/>
      <c r="AD4" s="19" t="s">
        <v>100</v>
      </c>
      <c r="AE4" s="19"/>
      <c r="AF4" s="19"/>
      <c r="AG4" s="19"/>
      <c r="AH4" s="20">
        <v>46245</v>
      </c>
      <c r="AI4" s="19" t="s">
        <v>101</v>
      </c>
      <c r="AJ4" s="19">
        <v>9000</v>
      </c>
      <c r="AK4" s="19" t="s">
        <v>192</v>
      </c>
      <c r="AL4" s="19"/>
      <c r="AM4" s="19"/>
      <c r="AN4" s="19" t="s">
        <v>102</v>
      </c>
      <c r="AO4" s="19">
        <v>4000</v>
      </c>
      <c r="AP4" s="19"/>
      <c r="AQ4" s="22">
        <v>164240</v>
      </c>
      <c r="AR4" s="19" t="s">
        <v>103</v>
      </c>
    </row>
    <row r="5" spans="1:44" x14ac:dyDescent="0.25">
      <c r="A5" s="16" t="s">
        <v>104</v>
      </c>
      <c r="B5" s="16">
        <v>10500</v>
      </c>
      <c r="C5" s="17"/>
      <c r="D5" s="18">
        <v>46240</v>
      </c>
      <c r="E5" s="17" t="s">
        <v>192</v>
      </c>
      <c r="F5" s="17"/>
      <c r="G5" s="17"/>
      <c r="H5" s="17"/>
      <c r="I5" s="17"/>
      <c r="J5" s="18">
        <v>46251</v>
      </c>
      <c r="K5" s="19" t="s">
        <v>105</v>
      </c>
      <c r="L5" s="19">
        <v>14640</v>
      </c>
      <c r="M5" s="19" t="s">
        <v>192</v>
      </c>
      <c r="N5" s="20">
        <v>46251</v>
      </c>
      <c r="O5" s="19" t="s">
        <v>106</v>
      </c>
      <c r="P5" s="19">
        <v>18810</v>
      </c>
      <c r="Q5" s="19" t="s">
        <v>192</v>
      </c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 t="s">
        <v>107</v>
      </c>
      <c r="AE5" s="19"/>
      <c r="AF5" s="19"/>
      <c r="AG5" s="19"/>
      <c r="AH5" s="19"/>
      <c r="AI5" s="19" t="s">
        <v>108</v>
      </c>
      <c r="AJ5" s="19"/>
      <c r="AK5" s="19"/>
      <c r="AL5" s="20">
        <v>46239</v>
      </c>
      <c r="AM5" s="19" t="s">
        <v>12</v>
      </c>
      <c r="AN5" s="19" t="s">
        <v>209</v>
      </c>
      <c r="AO5" s="19">
        <v>4000</v>
      </c>
      <c r="AP5" s="19"/>
      <c r="AQ5" s="19">
        <v>52000</v>
      </c>
      <c r="AR5" s="19" t="s">
        <v>109</v>
      </c>
    </row>
    <row r="6" spans="1:44" x14ac:dyDescent="0.25">
      <c r="A6" s="16" t="s">
        <v>25</v>
      </c>
      <c r="B6" s="16">
        <v>12500</v>
      </c>
      <c r="C6" s="17"/>
      <c r="D6" s="18">
        <v>46235</v>
      </c>
      <c r="E6" s="17" t="s">
        <v>192</v>
      </c>
      <c r="F6" s="17"/>
      <c r="G6" s="17"/>
      <c r="H6" s="17"/>
      <c r="I6" s="17"/>
      <c r="J6" s="18">
        <v>46251</v>
      </c>
      <c r="K6" s="19" t="s">
        <v>110</v>
      </c>
      <c r="L6" s="19">
        <v>6840</v>
      </c>
      <c r="M6" s="19" t="s">
        <v>192</v>
      </c>
      <c r="N6" s="20">
        <v>46251</v>
      </c>
      <c r="O6" s="19" t="s">
        <v>111</v>
      </c>
      <c r="P6" s="19">
        <v>7890</v>
      </c>
      <c r="Q6" s="19" t="s">
        <v>192</v>
      </c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 t="s">
        <v>110</v>
      </c>
      <c r="AE6" s="19"/>
      <c r="AF6" s="19"/>
      <c r="AG6" s="19"/>
      <c r="AH6" s="20">
        <v>49901</v>
      </c>
      <c r="AI6" s="19" t="s">
        <v>252</v>
      </c>
      <c r="AJ6" s="19">
        <v>5000</v>
      </c>
      <c r="AK6" s="19" t="s">
        <v>192</v>
      </c>
      <c r="AL6" s="19"/>
      <c r="AM6" s="19"/>
      <c r="AN6" s="19"/>
      <c r="AO6" s="19"/>
      <c r="AP6" s="19"/>
      <c r="AQ6" s="19">
        <f>SUM(AQ3:AQ5)</f>
        <v>561123</v>
      </c>
      <c r="AR6" s="19" t="s">
        <v>112</v>
      </c>
    </row>
    <row r="7" spans="1:44" x14ac:dyDescent="0.25">
      <c r="A7" s="22" t="s">
        <v>113</v>
      </c>
      <c r="B7" s="22">
        <v>8500</v>
      </c>
      <c r="C7" s="17" t="s">
        <v>114</v>
      </c>
      <c r="D7" s="18">
        <v>46239</v>
      </c>
      <c r="E7" s="17" t="s">
        <v>192</v>
      </c>
      <c r="F7" s="17"/>
      <c r="G7" s="17"/>
      <c r="H7" s="17"/>
      <c r="I7" s="17"/>
      <c r="J7" s="17"/>
      <c r="K7" s="19" t="s">
        <v>115</v>
      </c>
      <c r="L7" s="19"/>
      <c r="M7" s="19"/>
      <c r="N7" s="19"/>
      <c r="O7" s="19" t="s">
        <v>238</v>
      </c>
      <c r="P7" s="22">
        <f>SUM(P3:P6)</f>
        <v>47740</v>
      </c>
      <c r="Q7" s="22"/>
      <c r="R7" s="22"/>
      <c r="S7" s="22"/>
      <c r="T7" s="22"/>
      <c r="U7" s="22"/>
      <c r="V7" s="22"/>
      <c r="W7" s="19"/>
      <c r="X7" s="19"/>
      <c r="Y7" s="19"/>
      <c r="Z7" s="19"/>
      <c r="AA7" s="19"/>
      <c r="AB7" s="19"/>
      <c r="AC7" s="19"/>
      <c r="AD7" s="19" t="s">
        <v>116</v>
      </c>
      <c r="AE7" s="20">
        <v>46235</v>
      </c>
      <c r="AF7" s="19">
        <v>1000</v>
      </c>
      <c r="AG7" s="19" t="s">
        <v>192</v>
      </c>
      <c r="AH7" s="20">
        <v>46251</v>
      </c>
      <c r="AI7" s="19" t="s">
        <v>252</v>
      </c>
      <c r="AJ7" s="19">
        <v>5000</v>
      </c>
      <c r="AK7" s="19" t="s">
        <v>192</v>
      </c>
      <c r="AL7" s="19"/>
      <c r="AM7" s="19"/>
      <c r="AN7" s="19"/>
      <c r="AO7" s="19"/>
      <c r="AP7" s="19"/>
      <c r="AQ7" s="19"/>
      <c r="AR7" s="19" t="s">
        <v>111</v>
      </c>
    </row>
    <row r="8" spans="1:44" x14ac:dyDescent="0.25">
      <c r="A8" s="22" t="s">
        <v>117</v>
      </c>
      <c r="B8" s="22">
        <v>3000</v>
      </c>
      <c r="C8" s="17"/>
      <c r="D8" s="18">
        <v>49892</v>
      </c>
      <c r="E8" s="17" t="s">
        <v>192</v>
      </c>
      <c r="F8" s="17"/>
      <c r="G8" s="17"/>
      <c r="H8" s="17"/>
      <c r="I8" s="17"/>
      <c r="J8" s="17"/>
      <c r="K8" s="19" t="s">
        <v>238</v>
      </c>
      <c r="L8">
        <f>SUM(L3:L7)</f>
        <v>164460</v>
      </c>
      <c r="M8" s="22"/>
      <c r="N8" s="22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 t="s">
        <v>118</v>
      </c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 t="s">
        <v>119</v>
      </c>
    </row>
    <row r="9" spans="1:44" x14ac:dyDescent="0.25">
      <c r="A9" s="23" t="s">
        <v>120</v>
      </c>
      <c r="B9" s="23">
        <v>14000</v>
      </c>
      <c r="C9" s="17"/>
      <c r="D9" s="18">
        <v>46235</v>
      </c>
      <c r="E9" s="17" t="s">
        <v>192</v>
      </c>
      <c r="F9" s="17"/>
      <c r="G9" s="17"/>
      <c r="H9" s="17"/>
      <c r="I9" s="17"/>
      <c r="J9" s="17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24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</row>
    <row r="10" spans="1:44" x14ac:dyDescent="0.25">
      <c r="A10" s="23" t="s">
        <v>121</v>
      </c>
      <c r="B10" s="23">
        <v>13000</v>
      </c>
      <c r="C10" s="17" t="s">
        <v>122</v>
      </c>
      <c r="D10" s="18">
        <v>46235</v>
      </c>
      <c r="E10" s="17" t="s">
        <v>192</v>
      </c>
      <c r="F10" s="17"/>
      <c r="G10" s="17"/>
      <c r="H10" s="17"/>
      <c r="I10" s="17"/>
      <c r="J10" s="17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 t="s">
        <v>116</v>
      </c>
      <c r="AE10" s="20">
        <v>46241</v>
      </c>
      <c r="AF10" s="19">
        <v>1500</v>
      </c>
      <c r="AG10" s="19" t="s">
        <v>192</v>
      </c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</row>
    <row r="11" spans="1:44" x14ac:dyDescent="0.25">
      <c r="A11" s="23" t="s">
        <v>123</v>
      </c>
      <c r="B11" s="23">
        <v>10500</v>
      </c>
      <c r="C11" s="17"/>
      <c r="D11" s="18">
        <v>46239</v>
      </c>
      <c r="E11" s="17" t="s">
        <v>192</v>
      </c>
      <c r="F11" s="17"/>
      <c r="G11" s="17"/>
      <c r="H11" s="17"/>
      <c r="I11" s="17"/>
      <c r="J11" s="17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 t="s">
        <v>116</v>
      </c>
      <c r="AE11" s="20">
        <v>46248</v>
      </c>
      <c r="AF11" s="19">
        <v>1500</v>
      </c>
      <c r="AG11" s="19" t="s">
        <v>192</v>
      </c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</row>
    <row r="12" spans="1:44" x14ac:dyDescent="0.25">
      <c r="A12" s="25" t="s">
        <v>124</v>
      </c>
      <c r="B12" s="25">
        <v>10500</v>
      </c>
      <c r="C12" s="17" t="s">
        <v>8</v>
      </c>
      <c r="D12" s="18">
        <v>46245</v>
      </c>
      <c r="E12" s="17" t="s">
        <v>192</v>
      </c>
      <c r="F12" s="17"/>
      <c r="G12" s="17"/>
      <c r="H12" s="17"/>
      <c r="I12" s="17"/>
      <c r="J12" s="17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 t="s">
        <v>116</v>
      </c>
      <c r="AE12" s="20">
        <v>46251</v>
      </c>
      <c r="AF12" s="19">
        <v>1500</v>
      </c>
      <c r="AG12" s="19" t="s">
        <v>192</v>
      </c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</row>
    <row r="13" spans="1:44" x14ac:dyDescent="0.25">
      <c r="A13" s="26" t="s">
        <v>125</v>
      </c>
      <c r="B13" s="26">
        <v>9000</v>
      </c>
      <c r="C13" s="17"/>
      <c r="D13" s="18">
        <v>46239</v>
      </c>
      <c r="E13" s="17" t="s">
        <v>192</v>
      </c>
      <c r="F13" s="17"/>
      <c r="G13" s="17"/>
      <c r="H13" s="17"/>
      <c r="I13" s="17"/>
      <c r="J13" s="17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 t="s">
        <v>116</v>
      </c>
      <c r="AE13" s="20">
        <v>46254</v>
      </c>
      <c r="AF13" s="19">
        <v>1000</v>
      </c>
      <c r="AG13" s="19" t="s">
        <v>192</v>
      </c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</row>
    <row r="14" spans="1:44" x14ac:dyDescent="0.25">
      <c r="A14" s="26" t="s">
        <v>126</v>
      </c>
      <c r="B14" s="26">
        <v>8750</v>
      </c>
      <c r="C14" s="17">
        <v>56</v>
      </c>
      <c r="D14" s="18">
        <v>46239</v>
      </c>
      <c r="E14" s="17" t="s">
        <v>192</v>
      </c>
      <c r="F14" s="17"/>
      <c r="G14" s="17"/>
      <c r="H14" s="17"/>
      <c r="I14" s="17"/>
      <c r="J14" s="17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</row>
    <row r="15" spans="1:44" x14ac:dyDescent="0.25">
      <c r="A15" s="27" t="s">
        <v>127</v>
      </c>
      <c r="B15" s="27">
        <v>5000</v>
      </c>
      <c r="C15" s="17" t="s">
        <v>12</v>
      </c>
      <c r="D15" s="18">
        <v>46244</v>
      </c>
      <c r="E15" s="17" t="s">
        <v>192</v>
      </c>
      <c r="F15" s="17"/>
      <c r="G15" s="17"/>
      <c r="H15" s="17"/>
      <c r="I15" s="17"/>
      <c r="J15" s="17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</row>
    <row r="16" spans="1:44" x14ac:dyDescent="0.25">
      <c r="A16" s="27" t="s">
        <v>128</v>
      </c>
      <c r="B16" s="27">
        <v>10000</v>
      </c>
      <c r="C16" s="17" t="s">
        <v>12</v>
      </c>
      <c r="D16" s="18">
        <v>46244</v>
      </c>
      <c r="E16" s="17" t="s">
        <v>192</v>
      </c>
      <c r="F16" s="17"/>
      <c r="G16" s="17"/>
      <c r="H16" s="17"/>
      <c r="I16" s="17"/>
      <c r="J16" s="17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</row>
    <row r="17" spans="1:44" x14ac:dyDescent="0.25">
      <c r="A17" s="19" t="s">
        <v>129</v>
      </c>
      <c r="B17" s="19">
        <v>11000</v>
      </c>
      <c r="C17" s="17" t="s">
        <v>130</v>
      </c>
      <c r="D17" s="18">
        <v>46235</v>
      </c>
      <c r="E17" s="17" t="s">
        <v>192</v>
      </c>
      <c r="F17" s="17"/>
      <c r="G17" s="17"/>
      <c r="H17" s="17"/>
      <c r="I17" s="17"/>
      <c r="J17" s="17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</row>
    <row r="18" spans="1:44" x14ac:dyDescent="0.25">
      <c r="A18" s="19" t="s">
        <v>131</v>
      </c>
      <c r="B18" s="19">
        <v>5000</v>
      </c>
      <c r="C18" s="17" t="s">
        <v>130</v>
      </c>
      <c r="D18" s="18">
        <v>46239</v>
      </c>
      <c r="E18" s="17" t="s">
        <v>192</v>
      </c>
      <c r="F18" s="17"/>
      <c r="G18" s="17"/>
      <c r="H18" s="17"/>
      <c r="I18" s="17"/>
      <c r="J18" s="17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</row>
    <row r="19" spans="1:44" x14ac:dyDescent="0.25">
      <c r="A19" s="19" t="s">
        <v>132</v>
      </c>
      <c r="B19" s="19">
        <v>11000</v>
      </c>
      <c r="C19" s="17" t="s">
        <v>130</v>
      </c>
      <c r="D19" s="28">
        <v>46235</v>
      </c>
      <c r="E19" s="17" t="s">
        <v>192</v>
      </c>
      <c r="F19" s="17"/>
      <c r="G19" s="17"/>
      <c r="H19" s="17"/>
      <c r="I19" s="17"/>
      <c r="J19" s="17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</row>
    <row r="20" spans="1:44" x14ac:dyDescent="0.25">
      <c r="A20" s="19" t="s">
        <v>133</v>
      </c>
      <c r="B20" s="19">
        <v>50000</v>
      </c>
      <c r="C20" s="17"/>
      <c r="D20" s="17"/>
      <c r="E20" s="17"/>
      <c r="F20" s="17"/>
      <c r="G20" s="17"/>
      <c r="H20" s="17"/>
      <c r="I20" s="17"/>
      <c r="J20" s="17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</row>
    <row r="21" spans="1:44" x14ac:dyDescent="0.25">
      <c r="A21" s="19" t="s">
        <v>134</v>
      </c>
      <c r="B21" s="29">
        <v>1600</v>
      </c>
      <c r="C21" s="17"/>
      <c r="D21" s="18">
        <v>46242</v>
      </c>
      <c r="E21" s="17" t="s">
        <v>192</v>
      </c>
      <c r="F21" s="17"/>
      <c r="G21" s="17"/>
      <c r="H21" s="17"/>
      <c r="I21" s="17"/>
      <c r="J21" s="17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</row>
    <row r="22" spans="1:44" x14ac:dyDescent="0.25">
      <c r="A22" s="19" t="s">
        <v>135</v>
      </c>
      <c r="B22" s="19">
        <v>23000</v>
      </c>
      <c r="C22" s="17"/>
      <c r="D22" s="18">
        <v>46235</v>
      </c>
      <c r="E22" s="17" t="s">
        <v>192</v>
      </c>
      <c r="F22" s="17"/>
      <c r="G22" s="17"/>
      <c r="H22" s="17"/>
      <c r="I22" s="17"/>
      <c r="J22" s="17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</row>
    <row r="23" spans="1:44" x14ac:dyDescent="0.25">
      <c r="A23" s="19" t="s">
        <v>227</v>
      </c>
      <c r="B23" s="19">
        <v>2500</v>
      </c>
      <c r="C23" s="17" t="s">
        <v>229</v>
      </c>
      <c r="D23" s="18">
        <v>46242</v>
      </c>
      <c r="E23" s="17" t="s">
        <v>192</v>
      </c>
      <c r="F23" s="17"/>
      <c r="G23" s="17"/>
      <c r="H23" s="17"/>
      <c r="I23" s="17"/>
      <c r="J23" s="17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</row>
    <row r="24" spans="1:44" x14ac:dyDescent="0.25">
      <c r="A24" s="19" t="s">
        <v>227</v>
      </c>
      <c r="B24" s="19">
        <v>2500</v>
      </c>
      <c r="C24" s="17" t="s">
        <v>229</v>
      </c>
      <c r="D24" s="18"/>
      <c r="E24" s="17"/>
      <c r="F24" s="17"/>
      <c r="G24" s="17"/>
      <c r="H24" s="17"/>
      <c r="I24" s="17"/>
      <c r="J24" s="17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</row>
    <row r="25" spans="1:44" x14ac:dyDescent="0.25">
      <c r="A25" s="19" t="s">
        <v>227</v>
      </c>
      <c r="B25" s="19">
        <v>2500</v>
      </c>
      <c r="C25" s="17" t="s">
        <v>229</v>
      </c>
      <c r="D25" s="18"/>
      <c r="E25" s="17"/>
      <c r="F25" s="17"/>
      <c r="G25" s="17"/>
      <c r="H25" s="17"/>
      <c r="I25" s="17"/>
      <c r="J25" s="17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</row>
    <row r="26" spans="1:44" x14ac:dyDescent="0.25">
      <c r="A26" s="19" t="s">
        <v>227</v>
      </c>
      <c r="B26" s="19">
        <v>2500</v>
      </c>
      <c r="C26" s="17" t="s">
        <v>229</v>
      </c>
      <c r="D26" s="18"/>
      <c r="E26" s="17"/>
      <c r="F26" s="17"/>
      <c r="G26" s="17"/>
      <c r="H26" s="17"/>
      <c r="I26" s="17"/>
      <c r="J26" s="17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</row>
    <row r="27" spans="1:44" x14ac:dyDescent="0.25">
      <c r="A27" s="19" t="s">
        <v>194</v>
      </c>
      <c r="B27" s="19">
        <v>10000</v>
      </c>
      <c r="C27" s="17"/>
      <c r="D27" s="18">
        <v>46235</v>
      </c>
      <c r="E27" s="17" t="s">
        <v>192</v>
      </c>
      <c r="F27" s="17"/>
      <c r="G27" s="17"/>
      <c r="H27" s="17"/>
      <c r="I27" s="17"/>
      <c r="J27" s="17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</row>
    <row r="28" spans="1:44" x14ac:dyDescent="0.25">
      <c r="A28" s="19" t="s">
        <v>225</v>
      </c>
      <c r="B28" s="19">
        <v>21000</v>
      </c>
      <c r="C28" s="17" t="s">
        <v>8</v>
      </c>
      <c r="D28" s="18">
        <v>46253</v>
      </c>
      <c r="E28" s="17" t="s">
        <v>192</v>
      </c>
      <c r="F28" s="17"/>
      <c r="G28" s="17"/>
      <c r="H28" s="17"/>
      <c r="I28" s="17"/>
      <c r="J28" s="17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</row>
    <row r="29" spans="1:44" x14ac:dyDescent="0.25">
      <c r="A29" s="19" t="s">
        <v>226</v>
      </c>
      <c r="B29" s="19">
        <v>5000</v>
      </c>
      <c r="C29" s="17" t="s">
        <v>8</v>
      </c>
      <c r="D29" s="18">
        <v>46253</v>
      </c>
      <c r="E29" s="17" t="s">
        <v>192</v>
      </c>
      <c r="F29" s="17"/>
      <c r="G29" s="17"/>
      <c r="H29" s="17"/>
      <c r="I29" s="17"/>
      <c r="J29" s="17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</row>
    <row r="30" spans="1:44" x14ac:dyDescent="0.25">
      <c r="A30" s="19" t="s">
        <v>241</v>
      </c>
      <c r="B30" s="19">
        <v>12000</v>
      </c>
      <c r="C30" s="17" t="s">
        <v>12</v>
      </c>
      <c r="D30" s="18">
        <v>46247</v>
      </c>
      <c r="E30" s="17" t="s">
        <v>192</v>
      </c>
      <c r="F30" s="17"/>
      <c r="G30" s="17"/>
      <c r="H30" s="17"/>
      <c r="I30" s="17"/>
      <c r="J30" s="17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</row>
    <row r="31" spans="1:44" x14ac:dyDescent="0.25">
      <c r="A31" s="19" t="s">
        <v>238</v>
      </c>
      <c r="B31" s="19">
        <f>SUM(B3:B30)</f>
        <v>294850</v>
      </c>
      <c r="C31" s="17"/>
      <c r="D31" s="17"/>
      <c r="E31" s="17"/>
      <c r="F31" s="17"/>
      <c r="G31" s="17"/>
      <c r="H31" s="17"/>
      <c r="I31" s="17"/>
      <c r="J31" s="17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</row>
    <row r="34" spans="1:37" x14ac:dyDescent="0.25">
      <c r="A34" s="19"/>
      <c r="B34" s="19"/>
      <c r="C34" s="17"/>
      <c r="D34" s="17"/>
      <c r="E34" s="17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</row>
    <row r="35" spans="1:37" x14ac:dyDescent="0.25">
      <c r="A35" s="19"/>
      <c r="B35" s="19"/>
      <c r="C35" s="17"/>
      <c r="D35" s="17"/>
      <c r="E35" s="17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</row>
    <row r="36" spans="1:37" x14ac:dyDescent="0.25">
      <c r="A36" s="38"/>
      <c r="B36" s="38"/>
      <c r="C36" s="38"/>
      <c r="D36" s="39"/>
      <c r="G36" s="15"/>
      <c r="H36" s="15"/>
    </row>
    <row r="37" spans="1:37" x14ac:dyDescent="0.25">
      <c r="A37" s="19"/>
      <c r="B37" s="19"/>
      <c r="C37" s="17"/>
      <c r="D37" s="17"/>
      <c r="E37" s="17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</row>
    <row r="38" spans="1:37" x14ac:dyDescent="0.25">
      <c r="A38" s="19"/>
      <c r="B38" s="19"/>
      <c r="C38" s="17"/>
      <c r="D38" s="17"/>
      <c r="E38" s="17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</row>
    <row r="39" spans="1:37" x14ac:dyDescent="0.25">
      <c r="A39" s="19"/>
      <c r="B39" s="19"/>
      <c r="C39" s="17"/>
      <c r="D39" s="17"/>
      <c r="E39" s="17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</row>
    <row r="40" spans="1:37" x14ac:dyDescent="0.25">
      <c r="A40" s="19"/>
      <c r="B40" s="19"/>
      <c r="C40" s="17"/>
      <c r="D40" s="17"/>
      <c r="E40" s="17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</row>
    <row r="41" spans="1:37" x14ac:dyDescent="0.25">
      <c r="A41" s="19"/>
      <c r="B41" s="19"/>
      <c r="C41" s="17"/>
      <c r="D41" s="17"/>
      <c r="E41" s="17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</row>
  </sheetData>
  <autoFilter ref="A1:G1" xr:uid="{00000000-0009-0000-0000-000001000000}"/>
  <mergeCells count="1">
    <mergeCell ref="A2: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61"/>
  <sheetViews>
    <sheetView showGridLines="0" topLeftCell="A41" zoomScale="131" zoomScaleNormal="70" workbookViewId="0">
      <selection activeCell="F64" sqref="F64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7109375" customWidth="1"/>
  </cols>
  <sheetData>
    <row r="1" spans="1:7" ht="30" customHeight="1" x14ac:dyDescent="0.25">
      <c r="B1" s="14" t="s">
        <v>223</v>
      </c>
      <c r="C1" s="45">
        <v>46252</v>
      </c>
    </row>
    <row r="2" spans="1:7" ht="30" customHeight="1" x14ac:dyDescent="0.25"/>
    <row r="3" spans="1:7" x14ac:dyDescent="0.25">
      <c r="A3" t="s">
        <v>215</v>
      </c>
      <c r="B3" t="s">
        <v>216</v>
      </c>
      <c r="C3" t="s">
        <v>217</v>
      </c>
      <c r="D3" t="s">
        <v>218</v>
      </c>
      <c r="E3" t="s">
        <v>136</v>
      </c>
      <c r="F3" t="s">
        <v>137</v>
      </c>
      <c r="G3" t="s">
        <v>210</v>
      </c>
    </row>
    <row r="4" spans="1:7" x14ac:dyDescent="0.25">
      <c r="A4" t="s">
        <v>139</v>
      </c>
      <c r="B4" t="s">
        <v>140</v>
      </c>
    </row>
    <row r="5" spans="1:7" x14ac:dyDescent="0.25">
      <c r="B5" t="s">
        <v>141</v>
      </c>
    </row>
    <row r="6" spans="1:7" x14ac:dyDescent="0.25">
      <c r="B6" t="s">
        <v>142</v>
      </c>
    </row>
    <row r="7" spans="1:7" x14ac:dyDescent="0.25">
      <c r="B7" t="s">
        <v>143</v>
      </c>
    </row>
    <row r="8" spans="1:7" x14ac:dyDescent="0.25">
      <c r="A8" t="s">
        <v>144</v>
      </c>
      <c r="B8" t="s">
        <v>145</v>
      </c>
    </row>
    <row r="9" spans="1:7" x14ac:dyDescent="0.25">
      <c r="B9" t="s">
        <v>146</v>
      </c>
    </row>
    <row r="10" spans="1:7" x14ac:dyDescent="0.25">
      <c r="B10" t="s">
        <v>147</v>
      </c>
    </row>
    <row r="11" spans="1:7" x14ac:dyDescent="0.25">
      <c r="B11" t="s">
        <v>148</v>
      </c>
    </row>
    <row r="12" spans="1:7" x14ac:dyDescent="0.25">
      <c r="B12" t="s">
        <v>149</v>
      </c>
    </row>
    <row r="13" spans="1:7" x14ac:dyDescent="0.25">
      <c r="B13" t="s">
        <v>150</v>
      </c>
    </row>
    <row r="14" spans="1:7" x14ac:dyDescent="0.25">
      <c r="B14" t="s">
        <v>151</v>
      </c>
    </row>
    <row r="15" spans="1:7" x14ac:dyDescent="0.25">
      <c r="B15" t="s">
        <v>152</v>
      </c>
    </row>
    <row r="16" spans="1:7" x14ac:dyDescent="0.25">
      <c r="A16" t="s">
        <v>153</v>
      </c>
      <c r="B16" t="s">
        <v>154</v>
      </c>
    </row>
    <row r="17" spans="1:2" x14ac:dyDescent="0.25">
      <c r="B17" t="s">
        <v>219</v>
      </c>
    </row>
    <row r="18" spans="1:2" x14ac:dyDescent="0.25">
      <c r="B18" t="s">
        <v>221</v>
      </c>
    </row>
    <row r="19" spans="1:2" x14ac:dyDescent="0.25">
      <c r="B19" t="s">
        <v>222</v>
      </c>
    </row>
    <row r="20" spans="1:2" x14ac:dyDescent="0.25">
      <c r="B20" t="s">
        <v>156</v>
      </c>
    </row>
    <row r="21" spans="1:2" x14ac:dyDescent="0.25">
      <c r="B21" t="s">
        <v>157</v>
      </c>
    </row>
    <row r="22" spans="1:2" x14ac:dyDescent="0.25">
      <c r="B22" t="s">
        <v>158</v>
      </c>
    </row>
    <row r="23" spans="1:2" x14ac:dyDescent="0.25">
      <c r="A23" t="s">
        <v>159</v>
      </c>
      <c r="B23" t="s">
        <v>138</v>
      </c>
    </row>
    <row r="24" spans="1:2" x14ac:dyDescent="0.25">
      <c r="B24" t="s">
        <v>160</v>
      </c>
    </row>
    <row r="25" spans="1:2" x14ac:dyDescent="0.25">
      <c r="B25" t="s">
        <v>161</v>
      </c>
    </row>
    <row r="26" spans="1:2" x14ac:dyDescent="0.25">
      <c r="B26" t="s">
        <v>162</v>
      </c>
    </row>
    <row r="27" spans="1:2" x14ac:dyDescent="0.25">
      <c r="B27" t="s">
        <v>163</v>
      </c>
    </row>
    <row r="28" spans="1:2" x14ac:dyDescent="0.25">
      <c r="A28" t="s">
        <v>164</v>
      </c>
      <c r="B28" t="s">
        <v>220</v>
      </c>
    </row>
    <row r="29" spans="1:2" x14ac:dyDescent="0.25">
      <c r="B29" t="s">
        <v>166</v>
      </c>
    </row>
    <row r="30" spans="1:2" x14ac:dyDescent="0.25">
      <c r="B30" t="s">
        <v>167</v>
      </c>
    </row>
    <row r="31" spans="1:2" x14ac:dyDescent="0.25">
      <c r="B31" t="s">
        <v>168</v>
      </c>
    </row>
    <row r="32" spans="1:2" x14ac:dyDescent="0.25">
      <c r="B32" t="s">
        <v>169</v>
      </c>
    </row>
    <row r="33" spans="1:2" x14ac:dyDescent="0.25">
      <c r="A33" t="s">
        <v>170</v>
      </c>
      <c r="B33" t="s">
        <v>171</v>
      </c>
    </row>
    <row r="34" spans="1:2" x14ac:dyDescent="0.25">
      <c r="B34" t="s">
        <v>172</v>
      </c>
    </row>
    <row r="35" spans="1:2" x14ac:dyDescent="0.25">
      <c r="B35" t="s">
        <v>173</v>
      </c>
    </row>
    <row r="36" spans="1:2" x14ac:dyDescent="0.25">
      <c r="B36" t="s">
        <v>174</v>
      </c>
    </row>
    <row r="37" spans="1:2" x14ac:dyDescent="0.25">
      <c r="B37" t="s">
        <v>175</v>
      </c>
    </row>
    <row r="38" spans="1:2" x14ac:dyDescent="0.25">
      <c r="B38" t="s">
        <v>176</v>
      </c>
    </row>
    <row r="39" spans="1:2" x14ac:dyDescent="0.25">
      <c r="A39" t="s">
        <v>177</v>
      </c>
      <c r="B39" t="s">
        <v>178</v>
      </c>
    </row>
    <row r="40" spans="1:2" x14ac:dyDescent="0.25">
      <c r="B40" t="s">
        <v>195</v>
      </c>
    </row>
    <row r="41" spans="1:2" x14ac:dyDescent="0.25">
      <c r="B41" t="s">
        <v>196</v>
      </c>
    </row>
    <row r="42" spans="1:2" x14ac:dyDescent="0.25">
      <c r="B42" t="s">
        <v>197</v>
      </c>
    </row>
    <row r="43" spans="1:2" x14ac:dyDescent="0.25">
      <c r="B43" t="s">
        <v>199</v>
      </c>
    </row>
    <row r="44" spans="1:2" x14ac:dyDescent="0.25">
      <c r="A44" t="s">
        <v>179</v>
      </c>
      <c r="B44" t="s">
        <v>180</v>
      </c>
    </row>
    <row r="45" spans="1:2" x14ac:dyDescent="0.25">
      <c r="B45" t="s">
        <v>181</v>
      </c>
    </row>
    <row r="46" spans="1:2" x14ac:dyDescent="0.25">
      <c r="A46" t="s">
        <v>182</v>
      </c>
      <c r="B46" t="s">
        <v>183</v>
      </c>
    </row>
    <row r="47" spans="1:2" x14ac:dyDescent="0.25">
      <c r="B47" t="s">
        <v>184</v>
      </c>
    </row>
    <row r="48" spans="1:2" x14ac:dyDescent="0.25">
      <c r="B48" t="s">
        <v>185</v>
      </c>
    </row>
    <row r="49" spans="1:7" x14ac:dyDescent="0.25">
      <c r="B49" t="s">
        <v>186</v>
      </c>
    </row>
    <row r="50" spans="1:7" x14ac:dyDescent="0.25">
      <c r="A50" t="s">
        <v>201</v>
      </c>
      <c r="B50" t="s">
        <v>202</v>
      </c>
    </row>
    <row r="51" spans="1:7" x14ac:dyDescent="0.25">
      <c r="B51" t="s">
        <v>203</v>
      </c>
    </row>
    <row r="52" spans="1:7" x14ac:dyDescent="0.25">
      <c r="B52" t="s">
        <v>204</v>
      </c>
    </row>
    <row r="53" spans="1:7" x14ac:dyDescent="0.25">
      <c r="A53" t="s">
        <v>206</v>
      </c>
      <c r="B53" t="s">
        <v>205</v>
      </c>
    </row>
    <row r="54" spans="1:7" x14ac:dyDescent="0.25">
      <c r="B54" t="s">
        <v>207</v>
      </c>
    </row>
    <row r="55" spans="1:7" x14ac:dyDescent="0.25">
      <c r="B55" t="s">
        <v>244</v>
      </c>
    </row>
    <row r="56" spans="1:7" x14ac:dyDescent="0.25">
      <c r="A56" s="41"/>
      <c r="B56" s="42" t="s">
        <v>245</v>
      </c>
      <c r="C56" s="42"/>
      <c r="D56" s="42"/>
      <c r="E56" s="42"/>
      <c r="F56" s="42"/>
      <c r="G56" s="43"/>
    </row>
    <row r="57" spans="1:7" x14ac:dyDescent="0.25">
      <c r="A57" s="41"/>
      <c r="B57" s="42" t="s">
        <v>246</v>
      </c>
      <c r="C57" s="42"/>
      <c r="D57" s="42"/>
      <c r="E57" s="42"/>
      <c r="F57" s="42"/>
      <c r="G57" s="43"/>
    </row>
    <row r="58" spans="1:7" x14ac:dyDescent="0.25">
      <c r="A58" s="41"/>
      <c r="B58" s="42" t="s">
        <v>253</v>
      </c>
      <c r="C58" s="42"/>
      <c r="D58" s="42"/>
      <c r="E58" s="42"/>
      <c r="F58" s="42"/>
      <c r="G58" s="43"/>
    </row>
    <row r="59" spans="1:7" x14ac:dyDescent="0.25">
      <c r="B59" s="42" t="s">
        <v>254</v>
      </c>
      <c r="C59" s="42"/>
      <c r="D59" s="42"/>
      <c r="E59" s="42"/>
      <c r="F59" s="42"/>
      <c r="G59" s="43"/>
    </row>
    <row r="60" spans="1:7" x14ac:dyDescent="0.25">
      <c r="B60" s="42" t="s">
        <v>256</v>
      </c>
      <c r="C60" s="42"/>
      <c r="D60" s="42"/>
      <c r="E60" s="42"/>
      <c r="F60" s="42"/>
      <c r="G60" s="43"/>
    </row>
    <row r="61" spans="1:7" x14ac:dyDescent="0.25">
      <c r="B61" s="42" t="s">
        <v>257</v>
      </c>
      <c r="C61" s="42"/>
      <c r="D61" s="42"/>
      <c r="E61" s="42"/>
      <c r="F61" s="42"/>
      <c r="G61" s="43">
        <v>500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66"/>
  <sheetViews>
    <sheetView topLeftCell="A28" zoomScale="85" zoomScaleNormal="85" workbookViewId="0">
      <selection activeCell="K67" sqref="K67"/>
    </sheetView>
  </sheetViews>
  <sheetFormatPr defaultColWidth="8.85546875" defaultRowHeight="15" x14ac:dyDescent="0.25"/>
  <cols>
    <col min="1" max="1" width="12.42578125" style="44" customWidth="1"/>
    <col min="2" max="3" width="20.42578125" customWidth="1"/>
    <col min="4" max="8" width="12.42578125" customWidth="1"/>
  </cols>
  <sheetData>
    <row r="1" spans="1:8" x14ac:dyDescent="0.25">
      <c r="A1" s="44" t="s">
        <v>74</v>
      </c>
      <c r="B1" t="s">
        <v>215</v>
      </c>
      <c r="C1" t="s">
        <v>216</v>
      </c>
      <c r="D1" t="s">
        <v>217</v>
      </c>
      <c r="E1" t="s">
        <v>218</v>
      </c>
      <c r="F1" t="s">
        <v>136</v>
      </c>
      <c r="G1" t="s">
        <v>137</v>
      </c>
      <c r="H1" t="s">
        <v>210</v>
      </c>
    </row>
    <row r="2" spans="1:8" x14ac:dyDescent="0.25">
      <c r="A2" s="44">
        <v>46239</v>
      </c>
      <c r="B2" t="s">
        <v>138</v>
      </c>
      <c r="G2">
        <v>110</v>
      </c>
    </row>
    <row r="3" spans="1:8" x14ac:dyDescent="0.25">
      <c r="A3" s="44">
        <v>46239</v>
      </c>
      <c r="B3" t="s">
        <v>139</v>
      </c>
      <c r="C3" t="s">
        <v>140</v>
      </c>
    </row>
    <row r="4" spans="1:8" x14ac:dyDescent="0.25">
      <c r="A4" s="44">
        <v>46239</v>
      </c>
      <c r="C4" t="s">
        <v>141</v>
      </c>
    </row>
    <row r="5" spans="1:8" x14ac:dyDescent="0.25">
      <c r="A5" s="44">
        <v>46239</v>
      </c>
      <c r="C5" t="s">
        <v>142</v>
      </c>
    </row>
    <row r="6" spans="1:8" x14ac:dyDescent="0.25">
      <c r="A6" s="44">
        <v>46239</v>
      </c>
      <c r="C6" t="s">
        <v>143</v>
      </c>
    </row>
    <row r="7" spans="1:8" x14ac:dyDescent="0.25">
      <c r="A7" s="44">
        <v>46239</v>
      </c>
      <c r="B7" t="s">
        <v>144</v>
      </c>
      <c r="C7" t="s">
        <v>145</v>
      </c>
    </row>
    <row r="8" spans="1:8" x14ac:dyDescent="0.25">
      <c r="A8" s="44">
        <v>46239</v>
      </c>
      <c r="C8" t="s">
        <v>146</v>
      </c>
    </row>
    <row r="9" spans="1:8" x14ac:dyDescent="0.25">
      <c r="A9" s="44">
        <v>46239</v>
      </c>
      <c r="C9" t="s">
        <v>147</v>
      </c>
    </row>
    <row r="10" spans="1:8" x14ac:dyDescent="0.25">
      <c r="A10" s="44">
        <v>46239</v>
      </c>
      <c r="C10" t="s">
        <v>148</v>
      </c>
    </row>
    <row r="11" spans="1:8" x14ac:dyDescent="0.25">
      <c r="A11" s="44">
        <v>46239</v>
      </c>
      <c r="C11" t="s">
        <v>149</v>
      </c>
    </row>
    <row r="12" spans="1:8" x14ac:dyDescent="0.25">
      <c r="A12" s="44">
        <v>46239</v>
      </c>
      <c r="C12" t="s">
        <v>150</v>
      </c>
    </row>
    <row r="13" spans="1:8" x14ac:dyDescent="0.25">
      <c r="A13" s="44">
        <v>46239</v>
      </c>
      <c r="C13" t="s">
        <v>151</v>
      </c>
    </row>
    <row r="14" spans="1:8" x14ac:dyDescent="0.25">
      <c r="A14" s="44">
        <v>46239</v>
      </c>
      <c r="C14" t="s">
        <v>152</v>
      </c>
    </row>
    <row r="15" spans="1:8" x14ac:dyDescent="0.25">
      <c r="A15" s="44">
        <v>46239</v>
      </c>
      <c r="B15" t="s">
        <v>153</v>
      </c>
      <c r="C15" t="s">
        <v>154</v>
      </c>
      <c r="D15">
        <v>5</v>
      </c>
      <c r="F15">
        <v>400</v>
      </c>
      <c r="H15">
        <v>2000</v>
      </c>
    </row>
    <row r="16" spans="1:8" x14ac:dyDescent="0.25">
      <c r="A16" s="44">
        <v>46239</v>
      </c>
      <c r="C16" t="s">
        <v>155</v>
      </c>
      <c r="D16">
        <v>10</v>
      </c>
      <c r="F16">
        <v>300</v>
      </c>
      <c r="H16">
        <v>3000</v>
      </c>
    </row>
    <row r="17" spans="1:3" x14ac:dyDescent="0.25">
      <c r="A17" s="44">
        <v>46239</v>
      </c>
      <c r="C17" t="s">
        <v>221</v>
      </c>
    </row>
    <row r="18" spans="1:3" x14ac:dyDescent="0.25">
      <c r="A18" s="44">
        <v>46239</v>
      </c>
      <c r="C18" t="s">
        <v>222</v>
      </c>
    </row>
    <row r="19" spans="1:3" x14ac:dyDescent="0.25">
      <c r="A19" s="44">
        <v>46239</v>
      </c>
      <c r="C19" t="s">
        <v>156</v>
      </c>
    </row>
    <row r="20" spans="1:3" x14ac:dyDescent="0.25">
      <c r="A20" s="44">
        <v>46239</v>
      </c>
      <c r="C20" t="s">
        <v>157</v>
      </c>
    </row>
    <row r="21" spans="1:3" x14ac:dyDescent="0.25">
      <c r="A21" s="44">
        <v>46239</v>
      </c>
      <c r="C21" t="s">
        <v>158</v>
      </c>
    </row>
    <row r="22" spans="1:3" x14ac:dyDescent="0.25">
      <c r="A22" s="44">
        <v>46239</v>
      </c>
      <c r="B22" t="s">
        <v>159</v>
      </c>
      <c r="C22" t="s">
        <v>138</v>
      </c>
    </row>
    <row r="23" spans="1:3" x14ac:dyDescent="0.25">
      <c r="A23" s="44">
        <v>46239</v>
      </c>
      <c r="C23" t="s">
        <v>160</v>
      </c>
    </row>
    <row r="24" spans="1:3" x14ac:dyDescent="0.25">
      <c r="A24" s="44">
        <v>46239</v>
      </c>
      <c r="C24" t="s">
        <v>161</v>
      </c>
    </row>
    <row r="25" spans="1:3" x14ac:dyDescent="0.25">
      <c r="A25" s="44">
        <v>46239</v>
      </c>
      <c r="C25" t="s">
        <v>162</v>
      </c>
    </row>
    <row r="26" spans="1:3" x14ac:dyDescent="0.25">
      <c r="A26" s="44">
        <v>46239</v>
      </c>
      <c r="C26" t="s">
        <v>163</v>
      </c>
    </row>
    <row r="27" spans="1:3" x14ac:dyDescent="0.25">
      <c r="A27" s="44">
        <v>46239</v>
      </c>
      <c r="B27" t="s">
        <v>164</v>
      </c>
      <c r="C27" t="s">
        <v>165</v>
      </c>
    </row>
    <row r="28" spans="1:3" x14ac:dyDescent="0.25">
      <c r="A28" s="44">
        <v>46239</v>
      </c>
      <c r="C28" t="s">
        <v>166</v>
      </c>
    </row>
    <row r="29" spans="1:3" x14ac:dyDescent="0.25">
      <c r="A29" s="44">
        <v>46239</v>
      </c>
      <c r="C29" t="s">
        <v>167</v>
      </c>
    </row>
    <row r="30" spans="1:3" x14ac:dyDescent="0.25">
      <c r="A30" s="44">
        <v>46239</v>
      </c>
      <c r="C30" t="s">
        <v>168</v>
      </c>
    </row>
    <row r="31" spans="1:3" x14ac:dyDescent="0.25">
      <c r="A31" s="44">
        <v>46239</v>
      </c>
      <c r="C31" t="s">
        <v>169</v>
      </c>
    </row>
    <row r="32" spans="1:3" x14ac:dyDescent="0.25">
      <c r="A32" s="44">
        <v>46239</v>
      </c>
      <c r="B32" t="s">
        <v>170</v>
      </c>
      <c r="C32" t="s">
        <v>171</v>
      </c>
    </row>
    <row r="33" spans="1:8" x14ac:dyDescent="0.25">
      <c r="A33" s="44">
        <v>46239</v>
      </c>
      <c r="C33" t="s">
        <v>172</v>
      </c>
    </row>
    <row r="34" spans="1:8" x14ac:dyDescent="0.25">
      <c r="A34" s="44">
        <v>46239</v>
      </c>
      <c r="C34" t="s">
        <v>173</v>
      </c>
    </row>
    <row r="35" spans="1:8" x14ac:dyDescent="0.25">
      <c r="A35" s="44">
        <v>46239</v>
      </c>
      <c r="C35" t="s">
        <v>174</v>
      </c>
    </row>
    <row r="36" spans="1:8" x14ac:dyDescent="0.25">
      <c r="A36" s="44">
        <v>46239</v>
      </c>
      <c r="C36" t="s">
        <v>175</v>
      </c>
    </row>
    <row r="37" spans="1:8" x14ac:dyDescent="0.25">
      <c r="A37" s="44">
        <v>46239</v>
      </c>
      <c r="C37" t="s">
        <v>176</v>
      </c>
    </row>
    <row r="38" spans="1:8" x14ac:dyDescent="0.25">
      <c r="A38" s="44">
        <v>46239</v>
      </c>
      <c r="B38" t="s">
        <v>177</v>
      </c>
      <c r="C38" t="s">
        <v>178</v>
      </c>
    </row>
    <row r="39" spans="1:8" x14ac:dyDescent="0.25">
      <c r="A39" s="44">
        <v>46239</v>
      </c>
      <c r="C39" t="s">
        <v>195</v>
      </c>
      <c r="D39">
        <v>0.7</v>
      </c>
      <c r="F39">
        <v>400</v>
      </c>
      <c r="H39">
        <v>280</v>
      </c>
    </row>
    <row r="40" spans="1:8" x14ac:dyDescent="0.25">
      <c r="A40" s="44">
        <v>46239</v>
      </c>
      <c r="C40" t="s">
        <v>196</v>
      </c>
      <c r="D40">
        <v>1</v>
      </c>
      <c r="F40">
        <v>220</v>
      </c>
      <c r="H40">
        <v>220</v>
      </c>
    </row>
    <row r="41" spans="1:8" x14ac:dyDescent="0.25">
      <c r="A41" s="44">
        <v>46239</v>
      </c>
      <c r="C41" t="s">
        <v>197</v>
      </c>
      <c r="E41" t="s">
        <v>198</v>
      </c>
      <c r="F41">
        <v>5</v>
      </c>
      <c r="H41">
        <v>45</v>
      </c>
    </row>
    <row r="42" spans="1:8" x14ac:dyDescent="0.25">
      <c r="A42" s="44">
        <v>46239</v>
      </c>
      <c r="C42" t="s">
        <v>199</v>
      </c>
      <c r="E42" t="s">
        <v>200</v>
      </c>
      <c r="F42">
        <v>5</v>
      </c>
      <c r="H42">
        <v>60</v>
      </c>
    </row>
    <row r="43" spans="1:8" x14ac:dyDescent="0.25">
      <c r="A43" s="44">
        <v>46239</v>
      </c>
      <c r="B43" t="s">
        <v>179</v>
      </c>
      <c r="C43" t="s">
        <v>180</v>
      </c>
    </row>
    <row r="44" spans="1:8" x14ac:dyDescent="0.25">
      <c r="A44" s="44">
        <v>46239</v>
      </c>
      <c r="C44" t="s">
        <v>181</v>
      </c>
    </row>
    <row r="45" spans="1:8" x14ac:dyDescent="0.25">
      <c r="A45" s="44">
        <v>46239</v>
      </c>
      <c r="B45" t="s">
        <v>182</v>
      </c>
      <c r="C45" t="s">
        <v>183</v>
      </c>
    </row>
    <row r="46" spans="1:8" x14ac:dyDescent="0.25">
      <c r="A46" s="44">
        <v>46239</v>
      </c>
      <c r="C46" t="s">
        <v>184</v>
      </c>
    </row>
    <row r="47" spans="1:8" x14ac:dyDescent="0.25">
      <c r="A47" s="44">
        <v>46239</v>
      </c>
      <c r="C47" t="s">
        <v>185</v>
      </c>
    </row>
    <row r="48" spans="1:8" x14ac:dyDescent="0.25">
      <c r="A48" s="44">
        <v>46239</v>
      </c>
      <c r="C48" t="s">
        <v>186</v>
      </c>
    </row>
    <row r="49" spans="1:8" x14ac:dyDescent="0.25">
      <c r="A49" s="44">
        <v>46239</v>
      </c>
      <c r="B49" t="s">
        <v>201</v>
      </c>
      <c r="C49" t="s">
        <v>202</v>
      </c>
      <c r="D49">
        <v>1</v>
      </c>
      <c r="F49">
        <v>560</v>
      </c>
      <c r="H49">
        <v>560</v>
      </c>
    </row>
    <row r="50" spans="1:8" x14ac:dyDescent="0.25">
      <c r="A50" s="44">
        <v>46239</v>
      </c>
      <c r="C50" t="s">
        <v>203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44">
        <v>46239</v>
      </c>
      <c r="C51" t="s">
        <v>204</v>
      </c>
      <c r="D51">
        <v>0.5</v>
      </c>
      <c r="F51">
        <v>600</v>
      </c>
      <c r="H51">
        <v>300</v>
      </c>
    </row>
    <row r="52" spans="1:8" x14ac:dyDescent="0.25">
      <c r="A52" s="44">
        <v>46239</v>
      </c>
      <c r="B52" t="s">
        <v>206</v>
      </c>
      <c r="C52" t="s">
        <v>205</v>
      </c>
    </row>
    <row r="53" spans="1:8" ht="15.75" thickBot="1" x14ac:dyDescent="0.3">
      <c r="A53" s="46">
        <v>46239</v>
      </c>
      <c r="B53" s="47"/>
      <c r="C53" s="47" t="s">
        <v>207</v>
      </c>
      <c r="D53" s="47"/>
      <c r="E53" s="47">
        <v>40</v>
      </c>
      <c r="F53" s="47">
        <v>10</v>
      </c>
      <c r="G53" s="47"/>
      <c r="H53" s="47">
        <v>400</v>
      </c>
    </row>
    <row r="54" spans="1:8" x14ac:dyDescent="0.25">
      <c r="A54" s="44">
        <v>46240</v>
      </c>
      <c r="C54" t="s">
        <v>221</v>
      </c>
      <c r="D54">
        <v>2</v>
      </c>
      <c r="F54">
        <v>270</v>
      </c>
      <c r="H54">
        <v>540</v>
      </c>
    </row>
    <row r="55" spans="1:8" ht="15.75" thickBot="1" x14ac:dyDescent="0.3">
      <c r="A55" s="46">
        <v>46240</v>
      </c>
      <c r="B55" s="47"/>
      <c r="C55" s="47" t="s">
        <v>158</v>
      </c>
      <c r="D55" s="47">
        <v>4.2</v>
      </c>
      <c r="E55" s="47"/>
      <c r="F55" s="47">
        <v>350</v>
      </c>
      <c r="G55" s="47">
        <v>70</v>
      </c>
      <c r="H55" s="47">
        <v>1540</v>
      </c>
    </row>
    <row r="56" spans="1:8" x14ac:dyDescent="0.25">
      <c r="A56" s="44">
        <v>46245</v>
      </c>
      <c r="B56" t="s">
        <v>159</v>
      </c>
      <c r="C56" t="s">
        <v>138</v>
      </c>
      <c r="D56">
        <v>50</v>
      </c>
      <c r="F56">
        <v>41</v>
      </c>
      <c r="G56">
        <v>60</v>
      </c>
      <c r="H56">
        <v>2110</v>
      </c>
    </row>
    <row r="57" spans="1:8" x14ac:dyDescent="0.25">
      <c r="A57" s="44">
        <v>46245</v>
      </c>
      <c r="C57" t="s">
        <v>196</v>
      </c>
      <c r="H57">
        <v>1400</v>
      </c>
    </row>
    <row r="58" spans="1:8" ht="15.75" thickBot="1" x14ac:dyDescent="0.3">
      <c r="A58" s="46">
        <v>46245</v>
      </c>
      <c r="B58" s="47"/>
      <c r="C58" s="47" t="s">
        <v>246</v>
      </c>
      <c r="D58" s="47"/>
      <c r="E58" s="47"/>
      <c r="F58" s="47"/>
      <c r="G58" s="47"/>
      <c r="H58" s="47">
        <v>500</v>
      </c>
    </row>
    <row r="59" spans="1:8" x14ac:dyDescent="0.25">
      <c r="A59" s="44">
        <v>46246</v>
      </c>
      <c r="C59" t="s">
        <v>244</v>
      </c>
      <c r="H59">
        <v>2700</v>
      </c>
    </row>
    <row r="60" spans="1:8" ht="15.75" thickBot="1" x14ac:dyDescent="0.3">
      <c r="A60" s="44">
        <v>46246</v>
      </c>
      <c r="C60" t="s">
        <v>245</v>
      </c>
      <c r="H60">
        <v>20000</v>
      </c>
    </row>
    <row r="61" spans="1:8" ht="15.75" thickBot="1" x14ac:dyDescent="0.3">
      <c r="A61" s="50">
        <v>46247</v>
      </c>
      <c r="B61" s="51"/>
      <c r="C61" s="51" t="s">
        <v>256</v>
      </c>
      <c r="D61" s="51"/>
      <c r="E61" s="51"/>
      <c r="F61" s="51"/>
      <c r="G61" s="51"/>
      <c r="H61" s="51">
        <v>1800</v>
      </c>
    </row>
    <row r="62" spans="1:8" ht="15.75" thickBot="1" x14ac:dyDescent="0.3">
      <c r="A62" s="48">
        <v>46249</v>
      </c>
      <c r="B62" s="49"/>
      <c r="C62" s="49" t="s">
        <v>222</v>
      </c>
      <c r="D62" s="49"/>
      <c r="E62" s="49"/>
      <c r="F62" s="49"/>
      <c r="G62" s="49"/>
      <c r="H62" s="49">
        <v>1000</v>
      </c>
    </row>
    <row r="63" spans="1:8" x14ac:dyDescent="0.25">
      <c r="A63" s="44">
        <v>46251</v>
      </c>
      <c r="C63" t="s">
        <v>253</v>
      </c>
      <c r="H63">
        <v>2500</v>
      </c>
    </row>
    <row r="64" spans="1:8" ht="15.75" thickBot="1" x14ac:dyDescent="0.3">
      <c r="A64" s="46">
        <v>46251</v>
      </c>
      <c r="B64" s="47"/>
      <c r="C64" s="47" t="s">
        <v>254</v>
      </c>
      <c r="D64" s="47"/>
      <c r="E64" s="47"/>
      <c r="F64" s="47"/>
      <c r="G64" s="47"/>
      <c r="H64" s="47">
        <v>1200</v>
      </c>
    </row>
    <row r="65" spans="1:8" x14ac:dyDescent="0.25">
      <c r="A65" s="44">
        <v>46252</v>
      </c>
      <c r="C65" t="s">
        <v>257</v>
      </c>
      <c r="H65">
        <v>500</v>
      </c>
    </row>
    <row r="66" spans="1:8" x14ac:dyDescent="0.25">
      <c r="A66" s="44">
        <v>46270</v>
      </c>
    </row>
  </sheetData>
  <conditionalFormatting sqref="A2:A65">
    <cfRule type="expression" dxfId="0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2"/>
  <sheetViews>
    <sheetView zoomScale="134" zoomScaleNormal="130" workbookViewId="0">
      <selection activeCell="F2" sqref="F2"/>
    </sheetView>
  </sheetViews>
  <sheetFormatPr defaultColWidth="11.42578125" defaultRowHeight="15" x14ac:dyDescent="0.25"/>
  <cols>
    <col min="1" max="1" width="6.85546875" customWidth="1"/>
    <col min="2" max="2" width="7.42578125" customWidth="1"/>
    <col min="3" max="3" width="13.42578125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D2" t="s">
        <v>68</v>
      </c>
      <c r="E2">
        <f>SUMIF(todays_rent_data!A:A, "MUJIB*", todays_rent_data!C:C)</f>
        <v>25000</v>
      </c>
      <c r="G2" t="str">
        <f>VLOOKUP("MUJIB*", todays_rent_data!A:E, 5, FALSE)</f>
        <v>GRP 4</v>
      </c>
      <c r="H2">
        <f>E2-F2</f>
        <v>25000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4"/>
  <sheetViews>
    <sheetView zoomScale="130" zoomScaleNormal="130" workbookViewId="0">
      <selection activeCell="D25" sqref="D25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46252</v>
      </c>
      <c r="B2" t="s">
        <v>251</v>
      </c>
      <c r="C2" t="s">
        <v>190</v>
      </c>
      <c r="D2" t="s">
        <v>70</v>
      </c>
      <c r="E2">
        <f>SUMIF(todays_rent_data!A:A, "PERVAZ*", todays_rent_data!C:C)</f>
        <v>45000</v>
      </c>
      <c r="F2">
        <v>20000</v>
      </c>
      <c r="G2" t="str">
        <f>VLOOKUP("PERVAZ*", todays_rent_data!A:E, 5, FALSE)</f>
        <v>GRP 4</v>
      </c>
      <c r="H2">
        <f>E2-F2</f>
        <v>25000</v>
      </c>
    </row>
    <row r="3" spans="1:8" x14ac:dyDescent="0.25">
      <c r="C3" t="s">
        <v>235</v>
      </c>
      <c r="D3" t="s">
        <v>70</v>
      </c>
      <c r="E3">
        <v>45000</v>
      </c>
      <c r="G3" t="s">
        <v>67</v>
      </c>
      <c r="H3">
        <f>E3-F3</f>
        <v>45000</v>
      </c>
    </row>
    <row r="4" spans="1:8" x14ac:dyDescent="0.25">
      <c r="C4" t="s">
        <v>258</v>
      </c>
      <c r="D4" t="s">
        <v>70</v>
      </c>
      <c r="E4">
        <v>45000</v>
      </c>
      <c r="G4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2"/>
  <sheetViews>
    <sheetView workbookViewId="0">
      <selection activeCell="I20" sqref="I20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/>
      <c r="D2" t="s">
        <v>72</v>
      </c>
      <c r="E2">
        <f>SUMIF(todays_rent_data!A:A, "AZHAR*", todays_rent_data!C:C)</f>
        <v>11500</v>
      </c>
      <c r="G2" t="str">
        <f>VLOOKUP("AZHAR*", todays_rent_data!A:E,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D2" t="s">
        <v>58</v>
      </c>
      <c r="E2">
        <f>SUMIF(todays_rent_data!A:A, "HYDER*", todays_rent_data!C:C)</f>
        <v>25000</v>
      </c>
      <c r="G2" t="str">
        <f>VLOOKUP("HYDER*", todays_rent_data!A:E, 5, FALSE)</f>
        <v>GRP 3</v>
      </c>
      <c r="H2">
        <f>E2-F2</f>
        <v>25000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2"/>
  <sheetViews>
    <sheetView workbookViewId="0">
      <selection activeCell="F2" sqref="F2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D2" t="s">
        <v>59</v>
      </c>
      <c r="E2">
        <f>SUMIF(todays_rent_data!A:A, "RAFAT*", todays_rent_data!C:C)</f>
        <v>15000</v>
      </c>
      <c r="G2" t="str">
        <f>VLOOKUP("RAFAT*", todays_rent_data!A:E, 5, FALSE)</f>
        <v>GRP 3</v>
      </c>
      <c r="H2">
        <f>E2-F2</f>
        <v>15000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D2" t="s">
        <v>55</v>
      </c>
      <c r="E2">
        <f>SUMIF(todays_rent_data!A:A, "MOIN*", todays_rent_data!C:C)</f>
        <v>27000</v>
      </c>
      <c r="G2" t="str">
        <f>VLOOKUP("MOIN*", todays_rent_data!A:E, 5, FALSE)</f>
        <v>GRP 3</v>
      </c>
      <c r="H2">
        <f>E2-F2</f>
        <v>27000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4"/>
  <sheetViews>
    <sheetView zoomScale="160" zoomScaleNormal="160" workbookViewId="0">
      <selection activeCell="D11" sqref="D11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B2" t="s">
        <v>189</v>
      </c>
      <c r="C2" t="s">
        <v>190</v>
      </c>
      <c r="D2" t="s">
        <v>191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5">
      <c r="A3" s="4"/>
      <c r="D3" t="s">
        <v>191</v>
      </c>
      <c r="E3">
        <f>SUMIF(todays_rent_data!A:A, "ANAS*", todays_rent_data!C:C)</f>
        <v>119600</v>
      </c>
      <c r="G3" t="str">
        <f>VLOOKUP("ANAS*", todays_rent_data!A:E, 5, FALSE)</f>
        <v>GRP 1</v>
      </c>
      <c r="H3">
        <f>E3-F3</f>
        <v>119600</v>
      </c>
    </row>
    <row r="4" spans="1:8" x14ac:dyDescent="0.25">
      <c r="A4" s="4"/>
      <c r="D4" t="s">
        <v>191</v>
      </c>
      <c r="E4">
        <f>SUMIF(todays_rent_data!A:A, "ANAS*", todays_rent_data!C:C)</f>
        <v>119600</v>
      </c>
      <c r="G4" t="str">
        <f>VLOOKUP("ANAS*", todays_rent_data!A:E, 5, FALSE)</f>
        <v>GRP 1</v>
      </c>
      <c r="H4">
        <f>E4-F4</f>
        <v>119600</v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2"/>
  <sheetViews>
    <sheetView zoomScale="160" zoomScaleNormal="160" workbookViewId="0">
      <selection activeCell="C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46239</v>
      </c>
      <c r="B2" t="s">
        <v>189</v>
      </c>
      <c r="C2" t="s">
        <v>190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4"/>
  <sheetViews>
    <sheetView zoomScale="235" zoomScaleNormal="235" workbookViewId="0">
      <selection activeCell="D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46238</v>
      </c>
      <c r="B2" t="s">
        <v>189</v>
      </c>
      <c r="C2" t="s">
        <v>190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5">
      <c r="A3" s="4"/>
    </row>
    <row r="4" spans="1:8" x14ac:dyDescent="0.25">
      <c r="A4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3"/>
  <sheetViews>
    <sheetView zoomScale="222" workbookViewId="0">
      <selection activeCell="A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46240</v>
      </c>
      <c r="C2" t="s">
        <v>190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5">
      <c r="D3" t="s">
        <v>22</v>
      </c>
      <c r="E3">
        <f>SUMIF(todays_rent_data!A:A, "DUBEY JI*", todays_rent_data!C:C)</f>
        <v>50000</v>
      </c>
      <c r="G3" t="str">
        <f>VLOOKUP("DUBEY JI*", todays_rent_data!A:E,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"/>
  <sheetViews>
    <sheetView zoomScale="241"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46244</v>
      </c>
      <c r="C2" t="s">
        <v>190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f>E2-F2</f>
        <v>0</v>
      </c>
    </row>
    <row r="3" spans="1:8" x14ac:dyDescent="0.25">
      <c r="A3" s="4">
        <v>46275</v>
      </c>
      <c r="D3" t="s">
        <v>25</v>
      </c>
      <c r="E3">
        <f>SUMIF(todays_rent_data!A:A, "KAMAL*", todays_rent_data!C:C)</f>
        <v>20000</v>
      </c>
      <c r="G3" t="str">
        <f>VLOOKUP("KAMAL*", todays_rent_data!A:E, 5, FALSE)</f>
        <v>GRP 1</v>
      </c>
      <c r="H3">
        <f>E3-F3</f>
        <v>20000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2"/>
  <sheetViews>
    <sheetView zoomScale="20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D2" t="s">
        <v>35</v>
      </c>
      <c r="E2">
        <f>SUMIF(todays_rent_data!A:A, "EJAZ*", todays_rent_data!C:C)</f>
        <v>75000</v>
      </c>
      <c r="G2" t="str">
        <f>VLOOKUP("EJAZ*", todays_rent_data!A:E, 5, FALSE)</f>
        <v>GRP 2</v>
      </c>
      <c r="H2">
        <f>E2-F2</f>
        <v>75000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3"/>
  <sheetViews>
    <sheetView zoomScale="223" zoomScaleNormal="130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250</v>
      </c>
      <c r="C2" t="s">
        <v>190</v>
      </c>
      <c r="D2" t="s">
        <v>46</v>
      </c>
      <c r="E2">
        <f>SUMIF(todays_rent_data!A:A, "NEHAL*", todays_rent_data!C:C)</f>
        <v>209000</v>
      </c>
      <c r="F2">
        <v>209000</v>
      </c>
      <c r="G2" t="str">
        <f>VLOOKUP("NEHAL*", todays_rent_data!A:E, 5, FALSE)</f>
        <v>GRP 2</v>
      </c>
      <c r="H2">
        <f>E2-F2</f>
        <v>0</v>
      </c>
    </row>
    <row r="3" spans="1:8" x14ac:dyDescent="0.25">
      <c r="D3" t="s">
        <v>46</v>
      </c>
      <c r="E3">
        <v>209000</v>
      </c>
      <c r="G3" t="s">
        <v>32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topLeftCell="D1" zoomScale="350"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243</v>
      </c>
      <c r="C2" t="s">
        <v>190</v>
      </c>
      <c r="D2" t="s">
        <v>37</v>
      </c>
      <c r="E2">
        <f>SUMIF(todays_rent_data!A:A, "ANUJ*", todays_rent_data!C:C)</f>
        <v>27500</v>
      </c>
      <c r="F2">
        <v>27500</v>
      </c>
      <c r="G2" t="str">
        <f>VLOOKUP("ANUJ*",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37</v>
      </c>
      <c r="E3">
        <v>27500</v>
      </c>
      <c r="G3" t="s">
        <v>32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3"/>
  <sheetViews>
    <sheetView topLeftCell="C1" zoomScale="250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46245</v>
      </c>
      <c r="B2" t="s">
        <v>189</v>
      </c>
      <c r="C2" t="s">
        <v>190</v>
      </c>
      <c r="D2" t="s">
        <v>43</v>
      </c>
      <c r="E2">
        <f>SUMIF(todays_rent_data!A:A, "ATIQUE*", todays_rent_data!C:C)</f>
        <v>20000</v>
      </c>
      <c r="F2">
        <v>20000</v>
      </c>
      <c r="G2" t="str">
        <f>VLOOKUP("ATIQUE*", todays_rent_data!A:E, 5, FALSE)</f>
        <v>GRP 2</v>
      </c>
      <c r="H2">
        <f>E2-F2</f>
        <v>0</v>
      </c>
    </row>
    <row r="3" spans="1:8" x14ac:dyDescent="0.25">
      <c r="C3" t="s">
        <v>235</v>
      </c>
      <c r="D3" t="s">
        <v>43</v>
      </c>
      <c r="E3">
        <v>20000</v>
      </c>
      <c r="G3" t="s">
        <v>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3"/>
  <sheetViews>
    <sheetView topLeftCell="C1" zoomScale="272" workbookViewId="0">
      <selection activeCell="B4" sqref="B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46248</v>
      </c>
      <c r="B2" t="s">
        <v>249</v>
      </c>
      <c r="C2" t="s">
        <v>190</v>
      </c>
      <c r="D2" t="s">
        <v>65</v>
      </c>
      <c r="E2">
        <f>SUMIF(todays_rent_data!A:A, "RANJAN*", todays_rent_data!C:C)</f>
        <v>62500</v>
      </c>
      <c r="F2">
        <v>35000</v>
      </c>
      <c r="G2" t="str">
        <f>VLOOKUP("RANJAN*", todays_rent_data!A:E, 5, FALSE)</f>
        <v>GRP 2</v>
      </c>
      <c r="H2">
        <f>E2-F2</f>
        <v>27500</v>
      </c>
    </row>
    <row r="3" spans="1:8" x14ac:dyDescent="0.25">
      <c r="D3" t="s">
        <v>65</v>
      </c>
      <c r="E3">
        <v>62500</v>
      </c>
      <c r="G3" t="s">
        <v>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3"/>
  <sheetViews>
    <sheetView topLeftCell="B1" zoomScale="272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46246</v>
      </c>
      <c r="B2" t="s">
        <v>242</v>
      </c>
      <c r="C2" t="s">
        <v>190</v>
      </c>
      <c r="D2" t="s">
        <v>48</v>
      </c>
      <c r="E2">
        <f>SUMIF(todays_rent_data!A:A, "MANISH*", todays_rent_data!C:C)</f>
        <v>38000</v>
      </c>
      <c r="F2">
        <v>38000</v>
      </c>
      <c r="G2" t="str">
        <f>VLOOKUP("MANISH*",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48</v>
      </c>
      <c r="E3">
        <v>38000</v>
      </c>
      <c r="G3" t="s">
        <v>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3"/>
  <sheetViews>
    <sheetView zoomScale="150" workbookViewId="0">
      <selection activeCell="F4" sqref="F4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46247</v>
      </c>
      <c r="B2" t="s">
        <v>247</v>
      </c>
      <c r="C2" t="s">
        <v>190</v>
      </c>
      <c r="D2" t="s">
        <v>50</v>
      </c>
      <c r="E2">
        <f>SUMIF(todays_rent_data!A:A, "SUNNY*", todays_rent_data!C:C)</f>
        <v>16000</v>
      </c>
      <c r="F2">
        <v>16000</v>
      </c>
      <c r="G2" t="str">
        <f>VLOOKUP("SUNNY*", todays_rent_data!A:E, 5, FALSE)</f>
        <v>GRP 2</v>
      </c>
      <c r="H2">
        <f>E2-F2</f>
        <v>0</v>
      </c>
    </row>
    <row r="3" spans="1:8" x14ac:dyDescent="0.25">
      <c r="C3" t="s">
        <v>235</v>
      </c>
      <c r="D3" t="s">
        <v>50</v>
      </c>
      <c r="E3">
        <v>16000</v>
      </c>
      <c r="G3" t="s">
        <v>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"/>
  <dimension ref="A1:H3"/>
  <sheetViews>
    <sheetView zoomScale="288" zoomScaleNormal="115" workbookViewId="0">
      <selection activeCell="F3" sqref="F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3" t="s">
        <v>74</v>
      </c>
      <c r="B1" s="3" t="s">
        <v>75</v>
      </c>
      <c r="C1" s="3" t="s">
        <v>187</v>
      </c>
      <c r="D1" s="3" t="s">
        <v>76</v>
      </c>
      <c r="E1" s="3" t="s">
        <v>77</v>
      </c>
      <c r="F1" s="6" t="s">
        <v>188</v>
      </c>
      <c r="G1" s="3" t="s">
        <v>78</v>
      </c>
      <c r="H1" s="7" t="s">
        <v>79</v>
      </c>
    </row>
    <row r="2" spans="1:8" x14ac:dyDescent="0.25">
      <c r="A2" s="4">
        <v>46235</v>
      </c>
      <c r="C2" t="s">
        <v>190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5">
      <c r="A3" s="4">
        <v>46266</v>
      </c>
      <c r="D3" t="s">
        <v>11</v>
      </c>
      <c r="E3">
        <f>SUMIF(todays_rent_data!A:A, "NOOR MD.*", todays_rent_data!C:C)</f>
        <v>11000</v>
      </c>
      <c r="G3" t="str">
        <f>VLOOKUP("NOOR MD.*", todays_rent_data!A:E, 5, FALSE)</f>
        <v>GRP 1</v>
      </c>
      <c r="H3">
        <f>E3-F3</f>
        <v>11000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todays_rent_data</vt:lpstr>
      <vt:lpstr>TODAYS_EXPENDITURE</vt:lpstr>
      <vt:lpstr>DATABASE_EXPENDITURE</vt:lpstr>
      <vt:lpstr>PURCHASE SHEET</vt:lpstr>
      <vt:lpstr>DATABASE_PURCHASE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2026-08-21T10:40:09Z</dcterms:modified>
</cp:coreProperties>
</file>