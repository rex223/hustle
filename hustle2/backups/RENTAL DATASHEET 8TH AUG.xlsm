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dadinularfin/Downloads/"/>
    </mc:Choice>
  </mc:AlternateContent>
  <xr:revisionPtr revIDLastSave="0" documentId="8_{558C1297-4501-FD4F-BAA9-69D72D4D2DBA}" xr6:coauthVersionLast="47" xr6:coauthVersionMax="47" xr10:uidLastSave="{00000000-0000-0000-0000-000000000000}"/>
  <bookViews>
    <workbookView xWindow="0" yWindow="660" windowWidth="29040" windowHeight="16440" tabRatio="938" activeTab="1" xr2:uid="{00000000-000D-0000-FFFF-FFFF00000000}"/>
  </bookViews>
  <sheets>
    <sheet name="RENT DATA" sheetId="1" r:id="rId1"/>
    <sheet name="EXPENDITURE" sheetId="3" r:id="rId2"/>
    <sheet name="PAYMENT SHEET" sheetId="2" r:id="rId3"/>
    <sheet name="PURCHASE SHEET" sheetId="28" r:id="rId4"/>
    <sheet name="DATABASE_PURCHASE" sheetId="27" r:id="rId5"/>
    <sheet name="MUJIB" sheetId="5" r:id="rId6"/>
    <sheet name="PERVAZ" sheetId="6" r:id="rId7"/>
    <sheet name="AZHAR" sheetId="7" r:id="rId8"/>
    <sheet name="HYDER" sheetId="8" r:id="rId9"/>
    <sheet name="RAFAT" sheetId="9" r:id="rId10"/>
    <sheet name="MOIN" sheetId="10" r:id="rId11"/>
    <sheet name="ANAS" sheetId="11" r:id="rId12"/>
    <sheet name="AZIM" sheetId="12" r:id="rId13"/>
    <sheet name="SONU" sheetId="13" r:id="rId14"/>
    <sheet name="DUBEY JI" sheetId="14" r:id="rId15"/>
    <sheet name="KAMAL" sheetId="15" r:id="rId16"/>
    <sheet name="EJAZ" sheetId="16" r:id="rId17"/>
    <sheet name="NEHAL" sheetId="17" r:id="rId18"/>
    <sheet name="ANUJ" sheetId="18" r:id="rId19"/>
    <sheet name="ATIQUE" sheetId="19" r:id="rId20"/>
    <sheet name="RANJAN" sheetId="20" r:id="rId21"/>
    <sheet name="MANISH" sheetId="21" r:id="rId22"/>
    <sheet name="SUNNY" sheetId="22" r:id="rId23"/>
    <sheet name="NOOR MD." sheetId="23" r:id="rId24"/>
  </sheets>
  <definedNames>
    <definedName name="_xlnm._FilterDatabase" localSheetId="1" hidden="1">EXPENDITURE!$A$1:$G$26</definedName>
    <definedName name="_xlnm._FilterDatabase" localSheetId="0" hidden="1">'RENT DATA'!$A$1:$M$34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6" i="3" l="1"/>
  <c r="B1048576" i="3"/>
  <c r="H3" i="15"/>
  <c r="G3" i="15"/>
  <c r="E3" i="15"/>
  <c r="E3" i="14"/>
  <c r="H3" i="14" s="1"/>
  <c r="G3" i="14"/>
  <c r="H4" i="11"/>
  <c r="G4" i="11"/>
  <c r="E4" i="11"/>
  <c r="H3" i="11"/>
  <c r="G3" i="11"/>
  <c r="E3" i="11"/>
  <c r="H3" i="23"/>
  <c r="G3" i="23"/>
  <c r="E3" i="23"/>
  <c r="C35" i="1"/>
  <c r="C32" i="1"/>
  <c r="C29" i="1"/>
  <c r="C24" i="1"/>
  <c r="C12" i="1"/>
  <c r="G54" i="28"/>
  <c r="G53" i="28"/>
  <c r="G52" i="28"/>
  <c r="G51" i="28"/>
  <c r="G50" i="28"/>
  <c r="G49" i="28"/>
  <c r="G48" i="28"/>
  <c r="G47" i="28"/>
  <c r="G46" i="28"/>
  <c r="G45" i="28"/>
  <c r="G44" i="28"/>
  <c r="G43" i="28"/>
  <c r="G42" i="28"/>
  <c r="G41" i="28"/>
  <c r="G40" i="28"/>
  <c r="G39" i="28"/>
  <c r="G38" i="28"/>
  <c r="G37" i="28"/>
  <c r="G36" i="28"/>
  <c r="G35" i="28"/>
  <c r="G34" i="28"/>
  <c r="G33" i="28"/>
  <c r="G32" i="28"/>
  <c r="G31" i="28"/>
  <c r="G30" i="28"/>
  <c r="G29" i="28"/>
  <c r="G28" i="28"/>
  <c r="G27" i="28"/>
  <c r="G26" i="28"/>
  <c r="G25" i="28"/>
  <c r="G24" i="28"/>
  <c r="G23" i="28"/>
  <c r="G22" i="28"/>
  <c r="G21" i="28"/>
  <c r="G20" i="28"/>
  <c r="G19" i="28"/>
  <c r="G18" i="28"/>
  <c r="G17" i="28"/>
  <c r="G16" i="28"/>
  <c r="G15" i="28"/>
  <c r="G14" i="28"/>
  <c r="G13" i="28"/>
  <c r="G12" i="28"/>
  <c r="G11" i="28"/>
  <c r="G10" i="28"/>
  <c r="G9" i="28"/>
  <c r="G8" i="28"/>
  <c r="G7" i="28"/>
  <c r="G6" i="28"/>
  <c r="G5" i="28"/>
  <c r="G4" i="28"/>
  <c r="G2" i="23"/>
  <c r="E2" i="23"/>
  <c r="H2" i="23" s="1"/>
  <c r="G2" i="22"/>
  <c r="E2" i="22"/>
  <c r="H2" i="22" s="1"/>
  <c r="G2" i="21"/>
  <c r="E2" i="21"/>
  <c r="H2" i="21" s="1"/>
  <c r="G2" i="20"/>
  <c r="E2" i="20"/>
  <c r="H2" i="20" s="1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H2" i="15" s="1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  <c r="H2" i="5" s="1"/>
  <c r="G7" i="3"/>
  <c r="I6" i="3"/>
  <c r="AB5" i="3"/>
  <c r="D5" i="2"/>
  <c r="D1048576" i="2" s="1"/>
  <c r="C36" i="1" l="1"/>
</calcChain>
</file>

<file path=xl/sharedStrings.xml><?xml version="1.0" encoding="utf-8"?>
<sst xmlns="http://schemas.openxmlformats.org/spreadsheetml/2006/main" count="602" uniqueCount="236">
  <si>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</si>
  <si>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</si>
  <si>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</si>
  <si>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</si>
  <si>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</si>
  <si>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</si>
  <si>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</si>
  <si>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</si>
  <si>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</si>
  <si>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</si>
  <si>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</si>
  <si>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</si>
  <si>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</si>
  <si>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</si>
  <si>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</si>
  <si>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</si>
  <si>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</si>
  <si>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</si>
  <si>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</si>
  <si>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</si>
  <si>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</si>
  <si>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</si>
  <si>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</si>
  <si>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</si>
  <si>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</si>
  <si>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</si>
  <si>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</si>
  <si>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</si>
  <si>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</si>
  <si>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GRP 1 Total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</si>
  <si>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</si>
  <si>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</si>
  <si>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</si>
  <si>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</si>
  <si>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</si>
  <si>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</si>
  <si>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</si>
  <si>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</si>
  <si>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</si>
  <si>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</si>
  <si>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</si>
  <si>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</si>
  <si>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</si>
  <si>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</si>
  <si>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</si>
  <si>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</si>
  <si>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</si>
  <si>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</si>
  <si>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</si>
  <si>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</si>
  <si>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</si>
  <si>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</si>
  <si>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</si>
  <si>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</si>
  <si>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GRP 2 Total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</si>
  <si>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</si>
  <si>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</si>
  <si>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</si>
  <si>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</si>
  <si>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</si>
  <si>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</si>
  <si>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</si>
  <si>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</si>
  <si>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</si>
  <si>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GRP 3 Total</t>
  </si>
  <si>
    <t>RANJAN</t>
  </si>
  <si>
    <t>BUILD / 1ST FLR / HALL 2</t>
  </si>
  <si>
    <t>GRP 4</t>
  </si>
  <si>
    <t>MUJIB</t>
  </si>
  <si>
    <t>GRP 4 Total</t>
  </si>
  <si>
    <t>PERVAZ</t>
  </si>
  <si>
    <t>SHED 4 / HALL 1</t>
  </si>
  <si>
    <t>GRP 5</t>
  </si>
  <si>
    <t>AZHAR</t>
  </si>
  <si>
    <t>GRP 5 Total</t>
  </si>
  <si>
    <t>Grand Total</t>
  </si>
  <si>
    <t>DATE</t>
  </si>
  <si>
    <t>TIME</t>
  </si>
  <si>
    <t>NAME</t>
  </si>
  <si>
    <t>AMOUNT</t>
  </si>
  <si>
    <t>GROUP</t>
  </si>
  <si>
    <t>DUE</t>
  </si>
  <si>
    <t>NIL</t>
  </si>
  <si>
    <t>PERWAZ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</si>
  <si>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</si>
  <si>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</si>
  <si>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</si>
  <si>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</si>
  <si>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</si>
  <si>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</si>
  <si>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</si>
  <si>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</si>
  <si>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</si>
  <si>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</si>
  <si>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</si>
  <si>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</si>
  <si>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</si>
  <si>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15000 WEEKLY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</si>
  <si>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</si>
  <si>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</si>
  <si>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</si>
  <si>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</si>
  <si>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</si>
  <si>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</si>
  <si>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</si>
  <si>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</si>
  <si>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</si>
  <si>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</si>
  <si>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</si>
  <si>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</si>
  <si>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</si>
  <si>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</si>
  <si>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</si>
  <si>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</si>
  <si>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</si>
  <si>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</si>
  <si>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</si>
  <si>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</si>
  <si>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</si>
  <si>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</si>
  <si>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</si>
  <si>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</si>
  <si>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</si>
  <si>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</si>
  <si>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</si>
  <si>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</si>
  <si>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</si>
  <si>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</si>
  <si>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</si>
  <si>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</si>
  <si>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</si>
  <si>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</si>
  <si>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</si>
  <si>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</si>
  <si>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</si>
  <si>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</si>
  <si>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</si>
  <si>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</si>
  <si>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</si>
  <si>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</si>
  <si>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</si>
  <si>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2500/WEEKLY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</si>
  <si>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</si>
  <si>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</si>
  <si>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</si>
  <si>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</si>
  <si>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</si>
  <si>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</si>
  <si>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</si>
  <si>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</si>
  <si>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</si>
  <si>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</si>
  <si>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</si>
  <si>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</si>
  <si>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</si>
  <si>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</si>
  <si>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</si>
  <si>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</si>
  <si>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</si>
  <si>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</si>
  <si>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</si>
  <si>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</si>
  <si>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</si>
  <si>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</si>
  <si>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</si>
  <si>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</si>
  <si>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</si>
  <si>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</si>
  <si>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</si>
  <si>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</si>
  <si>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</si>
  <si>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</si>
  <si>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</si>
  <si>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</si>
  <si>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</si>
  <si>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</si>
  <si>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</si>
  <si>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</si>
  <si>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</si>
  <si>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</si>
  <si>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</si>
  <si>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</si>
  <si>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</si>
  <si>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</si>
  <si>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</si>
  <si>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</si>
  <si>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</si>
  <si>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</si>
  <si>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</si>
  <si>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</si>
  <si>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</si>
  <si>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</si>
  <si>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</si>
  <si>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</si>
  <si>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</si>
  <si>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</si>
  <si>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</si>
  <si>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</si>
  <si>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</si>
  <si>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</si>
  <si>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</si>
  <si>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</si>
  <si>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</si>
  <si>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</si>
  <si>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</si>
  <si>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</si>
  <si>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</si>
  <si>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</si>
  <si>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</si>
  <si>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</si>
  <si>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</si>
  <si>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</si>
  <si>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</si>
  <si>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</si>
  <si>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</si>
  <si>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</si>
  <si>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</si>
  <si>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</si>
  <si>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</si>
  <si>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</si>
  <si>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-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</si>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</sst>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dd/mm/yyyy"/>
  </numFmts>
  <fonts count="9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2" borderId="0" xfId="0" applyFont="1" applyFill="1"/>
    <xf numFmtId="0" fontId="1" fillId="4" borderId="0" xfId="0" applyFont="1" applyFill="1"/>
    <xf numFmtId="0" fontId="0" fillId="4" borderId="0" xfId="0" applyFill="1"/>
    <xf numFmtId="14" fontId="0" fillId="0" borderId="0" xfId="0" applyNumberFormat="1"/>
    <xf numFmtId="18" fontId="0" fillId="0" borderId="0" xfId="0" applyNumberFormat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4" borderId="0" xfId="0" applyFont="1" applyFill="1"/>
    <xf numFmtId="14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0" fillId="11" borderId="1" xfId="0" applyFill="1" applyBorder="1"/>
    <xf numFmtId="164" fontId="0" fillId="11" borderId="1" xfId="0" applyNumberFormat="1" applyFill="1" applyBorder="1"/>
    <xf numFmtId="0" fontId="0" fillId="0" borderId="1" xfId="0" applyBorder="1"/>
    <xf numFmtId="3" fontId="0" fillId="11" borderId="1" xfId="0" applyNumberFormat="1" applyFill="1" applyBorder="1"/>
    <xf numFmtId="3" fontId="0" fillId="0" borderId="1" xfId="0" applyNumberFormat="1" applyBorder="1"/>
    <xf numFmtId="3" fontId="0" fillId="0" borderId="0" xfId="0" applyNumberFormat="1"/>
    <xf numFmtId="0" fontId="7" fillId="0" borderId="0" xfId="0" applyFont="1" applyAlignment="1">
      <alignment horizontal="right"/>
    </xf>
    <xf numFmtId="165" fontId="0" fillId="0" borderId="0" xfId="0" applyNumberFormat="1"/>
    <xf numFmtId="165" fontId="7" fillId="12" borderId="2" xfId="0" applyNumberFormat="1" applyFont="1" applyFill="1" applyBorder="1"/>
    <xf numFmtId="0" fontId="8" fillId="0" borderId="0" xfId="0" applyFont="1"/>
  </cellXfs>
  <cellStyles count="1">
    <cellStyle name="Normal" xfId="0" builtinId="0"/>
  </cellStyles>
  <dxfs count="2">
    <dxf>
      <numFmt numFmtId="166" formatCode=";;;"/>
    </dxf>
    <dxf>
      <numFmt numFmtId="165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S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en-AS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43CAB1-1760-42A1-A11E-F73AF24B692A}" name="EntryFormTable" displayName="EntryFormTable" ref="A3:G54" totalsRowShown="0">
  <autoFilter ref="A3:G54" xr:uid="{CE43CAB1-1760-42A1-A11E-F73AF24B692A}"/>
  <tableColumns count="7">
    <tableColumn id="1" xr3:uid="{1F5B7037-25A6-44B2-984A-8A4F86DBEC85}" name="GROUP / FOR"/>
    <tableColumn id="2" xr3:uid="{EA12935C-CC11-427C-9012-F9911E20167D}" name="ITEM NAME"/>
    <tableColumn id="3" xr3:uid="{667A8B31-115B-4091-B2B2-3A7DDCB53861}" name="QTY (KG)"/>
    <tableColumn id="4" xr3:uid="{78020198-A643-4F27-9BA2-507DF0A1A3AE}" name="QTY (PCS)"/>
    <tableColumn id="5" xr3:uid="{AD965CBE-CFD5-4CA8-8865-5F376980E907}" name="RATE"/>
    <tableColumn id="6" xr3:uid="{A56D1D5B-C904-4072-82BD-167CB5592E59}" name="TRSP"/>
    <tableColumn id="7" xr3:uid="{169EE09A-2923-4BD9-974A-F5C4C378941B}" name="TOTAL AMOUNT">
      <calculatedColumnFormula>IF(SUM(C4:D4, F4)&gt;0, (C4+D4)*E4+F4,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C5F1CA-E0CC-455F-8F7E-581EEC458565}" name="DailyPurchaseLedger" displayName="DailyPurchaseLedger" ref="A1:H55" totalsRowShown="0">
  <autoFilter ref="A1:H55" xr:uid="{4AC5F1CA-E0CC-455F-8F7E-581EEC458565}"/>
  <tableColumns count="8">
    <tableColumn id="1" xr3:uid="{B7D7244E-C98F-4571-B22F-F25A02DFDC28}" name="DATE" dataDxfId="1"/>
    <tableColumn id="2" xr3:uid="{9F6AC124-BE84-4BA4-B7A1-9B521DA04A42}" name="GROUP / FOR"/>
    <tableColumn id="3" xr3:uid="{348ECE13-FFDA-4488-B4CA-3651B80A7A53}" name="ITEM NAME"/>
    <tableColumn id="4" xr3:uid="{102FC8A1-0D54-466A-898A-097F1ECB1419}" name="QTY (KG)"/>
    <tableColumn id="5" xr3:uid="{8E872F15-A9DE-4F2D-9408-41165BF28CD6}" name="QTY (PCS)"/>
    <tableColumn id="6" xr3:uid="{0E2A28CE-A640-4D79-882F-498192E120B2}" name="RATE"/>
    <tableColumn id="7" xr3:uid="{94BB384A-2511-4412-B55A-E4AB993D8309}" name="TRSP"/>
    <tableColumn id="8" xr3:uid="{E0197E3A-DDC3-47AB-A9CB-54F37687F7E6}" name="TOTAL AMOUN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N37"/>
  <sheetViews>
    <sheetView showOutlineSymbols="0" topLeftCell="G1" zoomScale="244" zoomScaleNormal="100" workbookViewId="0">
      <selection activeCell="K7" sqref="K7"/>
    </sheetView>
  </sheetViews>
  <sheetFormatPr baseColWidth="10" defaultColWidth="8.83203125" defaultRowHeight="15" outlineLevelRow="2" x14ac:dyDescent="0.2"/>
  <cols>
    <col min="1" max="1" width="25" customWidth="1"/>
    <col min="2" max="3" width="15" customWidth="1"/>
    <col min="4" max="4" width="30" customWidth="1"/>
    <col min="5" max="5" width="15" customWidth="1"/>
    <col min="6" max="6" width="20" customWidth="1"/>
    <col min="7" max="7" width="25" customWidth="1"/>
    <col min="10" max="10" width="11.6640625" bestFit="1" customWidth="1"/>
    <col min="11" max="11" width="14" bestFit="1" customWidth="1"/>
    <col min="12" max="12" width="18.5" bestFit="1" customWidth="1"/>
    <col min="13" max="13" width="15.1640625" bestFit="1" customWidth="1"/>
    <col min="14" max="14" width="10.1640625" bestFit="1" customWidth="1"/>
  </cols>
  <sheetData>
    <row r="1" spans="1:14" s="3" customFormat="1" ht="25" customHeight="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J1" s="19" t="s">
        <v>80</v>
      </c>
      <c r="K1" s="19" t="s">
        <v>219</v>
      </c>
      <c r="L1" s="19" t="s">
        <v>216</v>
      </c>
      <c r="M1" s="19" t="s">
        <v>217</v>
      </c>
      <c r="N1" s="19" t="s">
        <v>218</v>
      </c>
    </row>
    <row r="2" spans="1:14" outlineLevel="2" x14ac:dyDescent="0.2">
      <c r="A2" t="s">
        <v>7</v>
      </c>
      <c r="B2" t="s">
        <v>8</v>
      </c>
      <c r="C2">
        <v>35000</v>
      </c>
      <c r="D2" t="s">
        <v>9</v>
      </c>
      <c r="E2" t="s">
        <v>10</v>
      </c>
      <c r="J2" s="20" t="s">
        <v>10</v>
      </c>
      <c r="K2" s="21">
        <v>46244</v>
      </c>
      <c r="L2" s="23">
        <v>246600</v>
      </c>
      <c r="M2" s="23">
        <v>246600</v>
      </c>
      <c r="N2" s="23">
        <v>0</v>
      </c>
    </row>
    <row r="3" spans="1:14" outlineLevel="2" x14ac:dyDescent="0.2">
      <c r="A3" t="s">
        <v>11</v>
      </c>
      <c r="B3" t="s">
        <v>12</v>
      </c>
      <c r="C3">
        <v>11000</v>
      </c>
      <c r="D3" t="s">
        <v>13</v>
      </c>
      <c r="E3" t="s">
        <v>10</v>
      </c>
      <c r="J3" s="22" t="s">
        <v>32</v>
      </c>
      <c r="K3" s="22" t="s">
        <v>220</v>
      </c>
      <c r="L3" s="24">
        <v>420500</v>
      </c>
      <c r="M3" s="24">
        <v>0</v>
      </c>
      <c r="N3" s="24">
        <v>420500</v>
      </c>
    </row>
    <row r="4" spans="1:14" outlineLevel="2" x14ac:dyDescent="0.2">
      <c r="A4" t="s">
        <v>14</v>
      </c>
      <c r="B4" t="s">
        <v>12</v>
      </c>
      <c r="C4">
        <v>26000</v>
      </c>
      <c r="D4" t="s">
        <v>15</v>
      </c>
      <c r="E4" t="s">
        <v>10</v>
      </c>
      <c r="J4" s="20" t="s">
        <v>57</v>
      </c>
      <c r="K4" s="20" t="s">
        <v>220</v>
      </c>
      <c r="L4" s="23">
        <v>67000</v>
      </c>
      <c r="M4" s="23">
        <v>0</v>
      </c>
      <c r="N4" s="23">
        <v>67000</v>
      </c>
    </row>
    <row r="5" spans="1:14" outlineLevel="2" x14ac:dyDescent="0.2">
      <c r="A5" t="s">
        <v>16</v>
      </c>
      <c r="B5" t="s">
        <v>12</v>
      </c>
      <c r="C5">
        <v>35000</v>
      </c>
      <c r="D5" t="s">
        <v>17</v>
      </c>
      <c r="E5" t="s">
        <v>10</v>
      </c>
      <c r="J5" s="22" t="s">
        <v>67</v>
      </c>
      <c r="K5" s="22" t="s">
        <v>220</v>
      </c>
      <c r="L5" s="24">
        <v>52500</v>
      </c>
      <c r="M5" s="24">
        <v>0</v>
      </c>
      <c r="N5" s="24">
        <v>52500</v>
      </c>
    </row>
    <row r="6" spans="1:14" outlineLevel="2" x14ac:dyDescent="0.2">
      <c r="A6" t="s">
        <v>18</v>
      </c>
      <c r="B6" t="s">
        <v>12</v>
      </c>
      <c r="C6">
        <v>20000</v>
      </c>
      <c r="D6" t="s">
        <v>19</v>
      </c>
      <c r="E6" t="s">
        <v>10</v>
      </c>
      <c r="J6" s="20" t="s">
        <v>72</v>
      </c>
      <c r="K6" s="20" t="s">
        <v>220</v>
      </c>
      <c r="L6" s="23">
        <v>56500</v>
      </c>
      <c r="M6" s="23">
        <v>0</v>
      </c>
      <c r="N6" s="23">
        <v>56500</v>
      </c>
    </row>
    <row r="7" spans="1:14" outlineLevel="2" x14ac:dyDescent="0.2">
      <c r="A7" t="s">
        <v>20</v>
      </c>
      <c r="B7" t="s">
        <v>8</v>
      </c>
      <c r="C7">
        <v>24500</v>
      </c>
      <c r="D7" t="s">
        <v>21</v>
      </c>
      <c r="E7" t="s">
        <v>10</v>
      </c>
      <c r="L7" s="25"/>
      <c r="M7" s="25"/>
      <c r="N7" s="25"/>
    </row>
    <row r="8" spans="1:14" outlineLevel="2" x14ac:dyDescent="0.2">
      <c r="A8" t="s">
        <v>22</v>
      </c>
      <c r="B8">
        <v>56</v>
      </c>
      <c r="C8">
        <v>50000</v>
      </c>
      <c r="D8" t="s">
        <v>23</v>
      </c>
      <c r="E8" t="s">
        <v>10</v>
      </c>
    </row>
    <row r="9" spans="1:14" outlineLevel="2" x14ac:dyDescent="0.2">
      <c r="A9" t="s">
        <v>24</v>
      </c>
      <c r="B9" t="s">
        <v>8</v>
      </c>
      <c r="C9">
        <v>12100</v>
      </c>
      <c r="D9" t="s">
        <v>15</v>
      </c>
      <c r="E9" t="s">
        <v>10</v>
      </c>
    </row>
    <row r="10" spans="1:14" outlineLevel="2" x14ac:dyDescent="0.2">
      <c r="A10" t="s">
        <v>25</v>
      </c>
      <c r="B10" t="s">
        <v>8</v>
      </c>
      <c r="C10">
        <v>20000</v>
      </c>
      <c r="D10" t="s">
        <v>26</v>
      </c>
      <c r="E10" t="s">
        <v>10</v>
      </c>
    </row>
    <row r="11" spans="1:14" outlineLevel="2" x14ac:dyDescent="0.2">
      <c r="A11" t="s">
        <v>27</v>
      </c>
      <c r="B11" t="s">
        <v>8</v>
      </c>
      <c r="C11">
        <v>13000</v>
      </c>
      <c r="D11" t="s">
        <v>28</v>
      </c>
      <c r="E11" t="s">
        <v>10</v>
      </c>
    </row>
    <row r="12" spans="1:14" outlineLevel="1" x14ac:dyDescent="0.2">
      <c r="A12" s="1"/>
      <c r="B12" s="1"/>
      <c r="C12" s="1">
        <f>SUBTOTAL(9,C2:C11)</f>
        <v>246600</v>
      </c>
      <c r="D12" s="1"/>
      <c r="E12" s="1" t="s">
        <v>29</v>
      </c>
      <c r="F12" s="1"/>
      <c r="G12" s="1"/>
    </row>
    <row r="13" spans="1:14" outlineLevel="2" x14ac:dyDescent="0.2">
      <c r="A13" t="s">
        <v>30</v>
      </c>
      <c r="B13" t="s">
        <v>8</v>
      </c>
      <c r="C13">
        <v>70000</v>
      </c>
      <c r="D13" t="s">
        <v>31</v>
      </c>
      <c r="E13" t="s">
        <v>32</v>
      </c>
    </row>
    <row r="14" spans="1:14" outlineLevel="2" x14ac:dyDescent="0.2">
      <c r="A14" t="s">
        <v>33</v>
      </c>
      <c r="B14" t="s">
        <v>12</v>
      </c>
      <c r="C14">
        <v>45000</v>
      </c>
      <c r="D14" t="s">
        <v>34</v>
      </c>
      <c r="E14" t="s">
        <v>32</v>
      </c>
    </row>
    <row r="15" spans="1:14" outlineLevel="2" x14ac:dyDescent="0.2">
      <c r="A15" t="s">
        <v>35</v>
      </c>
      <c r="B15" t="s">
        <v>8</v>
      </c>
      <c r="C15">
        <v>75000</v>
      </c>
      <c r="D15" t="s">
        <v>36</v>
      </c>
      <c r="E15" t="s">
        <v>32</v>
      </c>
    </row>
    <row r="16" spans="1:14" outlineLevel="2" x14ac:dyDescent="0.2">
      <c r="A16" t="s">
        <v>37</v>
      </c>
      <c r="B16" t="s">
        <v>8</v>
      </c>
      <c r="C16">
        <v>27500</v>
      </c>
      <c r="D16" t="s">
        <v>38</v>
      </c>
      <c r="E16" t="s">
        <v>32</v>
      </c>
    </row>
    <row r="17" spans="1:7" outlineLevel="2" x14ac:dyDescent="0.2">
      <c r="A17" t="s">
        <v>39</v>
      </c>
      <c r="B17" t="s">
        <v>8</v>
      </c>
      <c r="C17">
        <v>35000</v>
      </c>
      <c r="D17" t="s">
        <v>40</v>
      </c>
      <c r="E17" t="s">
        <v>32</v>
      </c>
    </row>
    <row r="18" spans="1:7" outlineLevel="2" x14ac:dyDescent="0.2">
      <c r="A18" t="s">
        <v>41</v>
      </c>
      <c r="B18" t="s">
        <v>12</v>
      </c>
      <c r="C18">
        <v>30000</v>
      </c>
      <c r="D18" t="s">
        <v>42</v>
      </c>
      <c r="E18" t="s">
        <v>32</v>
      </c>
    </row>
    <row r="19" spans="1:7" outlineLevel="2" x14ac:dyDescent="0.2">
      <c r="A19" t="s">
        <v>43</v>
      </c>
      <c r="B19" t="s">
        <v>12</v>
      </c>
      <c r="C19">
        <v>20000</v>
      </c>
      <c r="D19" t="s">
        <v>44</v>
      </c>
      <c r="E19" t="s">
        <v>32</v>
      </c>
      <c r="F19" t="s">
        <v>45</v>
      </c>
    </row>
    <row r="20" spans="1:7" outlineLevel="2" x14ac:dyDescent="0.2">
      <c r="A20" t="s">
        <v>46</v>
      </c>
      <c r="B20" t="s">
        <v>8</v>
      </c>
      <c r="C20">
        <v>19000</v>
      </c>
      <c r="D20" t="s">
        <v>47</v>
      </c>
      <c r="E20" t="s">
        <v>32</v>
      </c>
    </row>
    <row r="21" spans="1:7" outlineLevel="2" x14ac:dyDescent="0.2">
      <c r="A21" t="s">
        <v>48</v>
      </c>
      <c r="B21" t="s">
        <v>8</v>
      </c>
      <c r="C21">
        <v>38000</v>
      </c>
      <c r="D21" t="s">
        <v>49</v>
      </c>
      <c r="E21" t="s">
        <v>32</v>
      </c>
    </row>
    <row r="22" spans="1:7" outlineLevel="2" x14ac:dyDescent="0.2">
      <c r="A22" t="s">
        <v>50</v>
      </c>
      <c r="B22" t="s">
        <v>8</v>
      </c>
      <c r="C22">
        <v>16000</v>
      </c>
      <c r="D22" t="s">
        <v>51</v>
      </c>
      <c r="E22" t="s">
        <v>32</v>
      </c>
    </row>
    <row r="23" spans="1:7" outlineLevel="2" x14ac:dyDescent="0.2">
      <c r="A23" t="s">
        <v>52</v>
      </c>
      <c r="B23" t="s">
        <v>12</v>
      </c>
      <c r="C23">
        <v>45000</v>
      </c>
      <c r="D23" t="s">
        <v>53</v>
      </c>
      <c r="E23" t="s">
        <v>32</v>
      </c>
    </row>
    <row r="24" spans="1:7" outlineLevel="1" x14ac:dyDescent="0.2">
      <c r="A24" s="1"/>
      <c r="B24" s="1"/>
      <c r="C24" s="1">
        <f>SUBTOTAL(9,C13:C23)</f>
        <v>420500</v>
      </c>
      <c r="D24" s="1"/>
      <c r="E24" s="1" t="s">
        <v>54</v>
      </c>
      <c r="F24" s="1"/>
      <c r="G24" s="1"/>
    </row>
    <row r="25" spans="1:7" outlineLevel="2" x14ac:dyDescent="0.2">
      <c r="A25" t="s">
        <v>55</v>
      </c>
      <c r="B25" t="s">
        <v>12</v>
      </c>
      <c r="C25">
        <v>14000</v>
      </c>
      <c r="D25" t="s">
        <v>56</v>
      </c>
      <c r="E25" t="s">
        <v>57</v>
      </c>
    </row>
    <row r="26" spans="1:7" outlineLevel="2" x14ac:dyDescent="0.2">
      <c r="A26" t="s">
        <v>58</v>
      </c>
      <c r="B26" t="s">
        <v>8</v>
      </c>
      <c r="C26">
        <v>25000</v>
      </c>
      <c r="D26" t="s">
        <v>17</v>
      </c>
      <c r="E26" t="s">
        <v>57</v>
      </c>
    </row>
    <row r="27" spans="1:7" outlineLevel="2" x14ac:dyDescent="0.2">
      <c r="A27" t="s">
        <v>59</v>
      </c>
      <c r="B27" t="s">
        <v>60</v>
      </c>
      <c r="C27">
        <v>15000</v>
      </c>
      <c r="D27" t="s">
        <v>61</v>
      </c>
      <c r="E27" t="s">
        <v>57</v>
      </c>
    </row>
    <row r="28" spans="1:7" outlineLevel="2" x14ac:dyDescent="0.2">
      <c r="A28" t="s">
        <v>62</v>
      </c>
      <c r="B28" t="s">
        <v>12</v>
      </c>
      <c r="C28">
        <v>13000</v>
      </c>
      <c r="D28" t="s">
        <v>63</v>
      </c>
      <c r="E28" t="s">
        <v>57</v>
      </c>
    </row>
    <row r="29" spans="1:7" outlineLevel="1" x14ac:dyDescent="0.2">
      <c r="A29" s="1"/>
      <c r="B29" s="1"/>
      <c r="C29" s="1">
        <f>SUBTOTAL(9,C25:C28)</f>
        <v>67000</v>
      </c>
      <c r="D29" s="1"/>
      <c r="E29" s="1" t="s">
        <v>64</v>
      </c>
      <c r="F29" s="1"/>
      <c r="G29" s="1"/>
    </row>
    <row r="30" spans="1:7" outlineLevel="2" x14ac:dyDescent="0.2">
      <c r="A30" t="s">
        <v>65</v>
      </c>
      <c r="B30" t="s">
        <v>8</v>
      </c>
      <c r="C30">
        <v>27500</v>
      </c>
      <c r="D30" t="s">
        <v>66</v>
      </c>
      <c r="E30" t="s">
        <v>67</v>
      </c>
    </row>
    <row r="31" spans="1:7" outlineLevel="2" x14ac:dyDescent="0.2">
      <c r="A31" t="s">
        <v>68</v>
      </c>
      <c r="B31" t="s">
        <v>12</v>
      </c>
      <c r="C31">
        <v>25000</v>
      </c>
      <c r="D31" t="s">
        <v>47</v>
      </c>
      <c r="E31" t="s">
        <v>67</v>
      </c>
    </row>
    <row r="32" spans="1:7" outlineLevel="1" x14ac:dyDescent="0.2">
      <c r="A32" s="1"/>
      <c r="B32" s="1"/>
      <c r="C32" s="1">
        <f>SUBTOTAL(9,C30:C31)</f>
        <v>52500</v>
      </c>
      <c r="D32" s="1"/>
      <c r="E32" s="1" t="s">
        <v>69</v>
      </c>
      <c r="F32" s="1"/>
      <c r="G32" s="1"/>
    </row>
    <row r="33" spans="1:7" outlineLevel="2" x14ac:dyDescent="0.2">
      <c r="A33" t="s">
        <v>70</v>
      </c>
      <c r="B33" t="s">
        <v>12</v>
      </c>
      <c r="C33">
        <v>45000</v>
      </c>
      <c r="D33" t="s">
        <v>71</v>
      </c>
      <c r="E33" t="s">
        <v>72</v>
      </c>
    </row>
    <row r="34" spans="1:7" outlineLevel="2" x14ac:dyDescent="0.2">
      <c r="A34" t="s">
        <v>73</v>
      </c>
      <c r="B34" t="s">
        <v>12</v>
      </c>
      <c r="C34">
        <v>11500</v>
      </c>
      <c r="D34" t="s">
        <v>26</v>
      </c>
      <c r="E34" t="s">
        <v>72</v>
      </c>
    </row>
    <row r="35" spans="1:7" outlineLevel="1" x14ac:dyDescent="0.2">
      <c r="A35" s="1"/>
      <c r="B35" s="1"/>
      <c r="C35" s="1">
        <f>SUBTOTAL(9,C33:C34)</f>
        <v>56500</v>
      </c>
      <c r="D35" s="1"/>
      <c r="E35" s="1" t="s">
        <v>74</v>
      </c>
      <c r="F35" s="1"/>
      <c r="G35" s="1"/>
    </row>
    <row r="36" spans="1:7" x14ac:dyDescent="0.2">
      <c r="A36" s="1"/>
      <c r="B36" s="1"/>
      <c r="C36" s="1">
        <f>SUBTOTAL(9,C2:C34)</f>
        <v>843100</v>
      </c>
      <c r="D36" s="1"/>
      <c r="E36" s="1" t="s">
        <v>75</v>
      </c>
      <c r="F36" s="1"/>
      <c r="G36" s="1"/>
    </row>
    <row r="37" spans="1:7" outlineLevel="1" x14ac:dyDescent="0.2"/>
  </sheetData>
  <autoFilter ref="A1:M34" xr:uid="{00000000-0001-0000-0000-000000000000}"/>
  <sortState xmlns:xlrd2="http://schemas.microsoft.com/office/spreadsheetml/2017/richdata2" ref="A2:G34">
    <sortCondition ref="E2:E34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AC1048576"/>
  <sheetViews>
    <sheetView tabSelected="1" topLeftCell="A7" zoomScale="199" zoomScaleNormal="100" workbookViewId="0">
      <selection activeCell="B23" sqref="B23"/>
    </sheetView>
  </sheetViews>
  <sheetFormatPr baseColWidth="10" defaultColWidth="11.5" defaultRowHeight="15" x14ac:dyDescent="0.2"/>
  <cols>
    <col min="3" max="5" width="10.83203125" style="9" customWidth="1"/>
    <col min="6" max="7" width="9.83203125" customWidth="1"/>
    <col min="8" max="8" width="10.83203125" customWidth="1"/>
    <col min="9" max="13" width="12.33203125" customWidth="1"/>
    <col min="14" max="15" width="13.6640625" customWidth="1"/>
    <col min="26" max="26" width="11.33203125" customWidth="1"/>
  </cols>
  <sheetData>
    <row r="1" spans="1:29" s="3" customFormat="1" x14ac:dyDescent="0.2">
      <c r="A1" s="3" t="s">
        <v>78</v>
      </c>
      <c r="B1" s="3" t="s">
        <v>84</v>
      </c>
      <c r="C1" s="9" t="s">
        <v>230</v>
      </c>
      <c r="D1" s="9" t="s">
        <v>76</v>
      </c>
      <c r="E1" s="9" t="s">
        <v>196</v>
      </c>
      <c r="F1" s="3" t="s">
        <v>85</v>
      </c>
      <c r="G1" s="3" t="s">
        <v>79</v>
      </c>
      <c r="H1" s="3" t="s">
        <v>86</v>
      </c>
      <c r="I1" s="3" t="s">
        <v>79</v>
      </c>
      <c r="J1" s="3" t="s">
        <v>76</v>
      </c>
      <c r="K1" s="3" t="s">
        <v>234</v>
      </c>
      <c r="L1" s="3" t="s">
        <v>79</v>
      </c>
      <c r="M1" s="3" t="s">
        <v>76</v>
      </c>
      <c r="N1" s="3" t="s">
        <v>87</v>
      </c>
      <c r="O1" s="3" t="s">
        <v>79</v>
      </c>
      <c r="P1" s="3" t="s">
        <v>88</v>
      </c>
      <c r="Q1" s="3" t="s">
        <v>76</v>
      </c>
      <c r="R1" s="3" t="s">
        <v>79</v>
      </c>
      <c r="S1" s="3" t="s">
        <v>89</v>
      </c>
      <c r="T1" s="3" t="s">
        <v>76</v>
      </c>
      <c r="U1" s="3" t="s">
        <v>79</v>
      </c>
      <c r="V1" s="3" t="s">
        <v>90</v>
      </c>
      <c r="W1" s="3" t="s">
        <v>79</v>
      </c>
      <c r="X1" s="3" t="s">
        <v>76</v>
      </c>
      <c r="Y1" s="3" t="s">
        <v>214</v>
      </c>
      <c r="Z1" s="3" t="s">
        <v>91</v>
      </c>
      <c r="AA1" s="3" t="s">
        <v>79</v>
      </c>
      <c r="AB1" s="3" t="s">
        <v>92</v>
      </c>
      <c r="AC1" s="3" t="s">
        <v>93</v>
      </c>
    </row>
    <row r="2" spans="1:29" x14ac:dyDescent="0.2">
      <c r="A2" s="7" t="s">
        <v>94</v>
      </c>
      <c r="B2" s="7">
        <v>9500</v>
      </c>
      <c r="D2" s="17">
        <v>46240</v>
      </c>
      <c r="E2" s="9" t="s">
        <v>198</v>
      </c>
      <c r="F2" t="s">
        <v>95</v>
      </c>
      <c r="G2">
        <v>62140</v>
      </c>
      <c r="H2" t="s">
        <v>96</v>
      </c>
      <c r="I2">
        <v>8000</v>
      </c>
      <c r="J2" s="4">
        <v>46242</v>
      </c>
      <c r="K2" t="s">
        <v>235</v>
      </c>
      <c r="L2">
        <v>35770</v>
      </c>
      <c r="M2" s="4">
        <v>46242</v>
      </c>
      <c r="O2" t="s">
        <v>97</v>
      </c>
      <c r="P2" t="s">
        <v>199</v>
      </c>
      <c r="Q2" s="4">
        <v>46235</v>
      </c>
      <c r="R2">
        <v>4300</v>
      </c>
      <c r="S2" t="s">
        <v>96</v>
      </c>
      <c r="V2" t="s">
        <v>98</v>
      </c>
      <c r="W2">
        <v>3000</v>
      </c>
      <c r="Z2" t="s">
        <v>99</v>
      </c>
      <c r="AA2">
        <v>3500</v>
      </c>
      <c r="AB2" s="13">
        <v>344883</v>
      </c>
      <c r="AC2" t="s">
        <v>100</v>
      </c>
    </row>
    <row r="3" spans="1:29" x14ac:dyDescent="0.2">
      <c r="A3" s="7" t="s">
        <v>101</v>
      </c>
      <c r="B3" s="7">
        <v>10500</v>
      </c>
      <c r="C3" s="9" t="s">
        <v>102</v>
      </c>
      <c r="D3" s="17">
        <v>46240</v>
      </c>
      <c r="E3" s="9" t="s">
        <v>198</v>
      </c>
      <c r="F3" t="s">
        <v>103</v>
      </c>
      <c r="G3">
        <v>75280</v>
      </c>
      <c r="H3" t="s">
        <v>104</v>
      </c>
      <c r="I3">
        <v>14000</v>
      </c>
      <c r="S3" t="s">
        <v>105</v>
      </c>
      <c r="V3" t="s">
        <v>106</v>
      </c>
      <c r="W3">
        <v>9000</v>
      </c>
      <c r="Z3" t="s">
        <v>107</v>
      </c>
      <c r="AA3">
        <v>4000</v>
      </c>
      <c r="AB3" s="12">
        <v>164240</v>
      </c>
      <c r="AC3" t="s">
        <v>108</v>
      </c>
    </row>
    <row r="4" spans="1:29" x14ac:dyDescent="0.2">
      <c r="A4" s="7" t="s">
        <v>109</v>
      </c>
      <c r="B4" s="7">
        <v>10500</v>
      </c>
      <c r="D4" s="17">
        <v>46240</v>
      </c>
      <c r="E4" s="9" t="s">
        <v>198</v>
      </c>
      <c r="F4" t="s">
        <v>110</v>
      </c>
      <c r="G4">
        <v>20150</v>
      </c>
      <c r="H4" t="s">
        <v>111</v>
      </c>
      <c r="I4">
        <v>22000</v>
      </c>
      <c r="S4" t="s">
        <v>112</v>
      </c>
      <c r="V4" t="s">
        <v>113</v>
      </c>
      <c r="X4" s="4">
        <v>46239</v>
      </c>
      <c r="Y4" t="s">
        <v>12</v>
      </c>
      <c r="Z4" t="s">
        <v>215</v>
      </c>
      <c r="AA4">
        <v>4000</v>
      </c>
      <c r="AB4">
        <v>52000</v>
      </c>
      <c r="AC4" t="s">
        <v>114</v>
      </c>
    </row>
    <row r="5" spans="1:29" x14ac:dyDescent="0.2">
      <c r="A5" s="7" t="s">
        <v>25</v>
      </c>
      <c r="B5" s="7">
        <v>12500</v>
      </c>
      <c r="D5" s="17">
        <v>46235</v>
      </c>
      <c r="E5" s="9" t="s">
        <v>198</v>
      </c>
      <c r="F5" t="s">
        <v>115</v>
      </c>
      <c r="G5">
        <v>6560</v>
      </c>
      <c r="H5" t="s">
        <v>116</v>
      </c>
      <c r="I5">
        <v>8000</v>
      </c>
      <c r="S5" t="s">
        <v>115</v>
      </c>
      <c r="AB5">
        <f>SUM(AB2:AB4)</f>
        <v>561123</v>
      </c>
      <c r="AC5" t="s">
        <v>117</v>
      </c>
    </row>
    <row r="6" spans="1:29" x14ac:dyDescent="0.2">
      <c r="A6" s="12" t="s">
        <v>118</v>
      </c>
      <c r="B6" s="12">
        <v>8500</v>
      </c>
      <c r="C6" s="9" t="s">
        <v>119</v>
      </c>
      <c r="D6" s="17">
        <v>46239</v>
      </c>
      <c r="E6" s="9" t="s">
        <v>198</v>
      </c>
      <c r="F6" t="s">
        <v>120</v>
      </c>
      <c r="G6">
        <v>110</v>
      </c>
      <c r="I6" s="12">
        <f>SUM(I2:I5)</f>
        <v>52000</v>
      </c>
      <c r="J6" s="12"/>
      <c r="K6" s="12"/>
      <c r="L6" s="12"/>
      <c r="M6" s="12"/>
      <c r="S6" t="s">
        <v>121</v>
      </c>
      <c r="T6" s="4">
        <v>46235</v>
      </c>
      <c r="U6">
        <v>1000</v>
      </c>
      <c r="AC6" t="s">
        <v>116</v>
      </c>
    </row>
    <row r="7" spans="1:29" x14ac:dyDescent="0.2">
      <c r="A7" s="12" t="s">
        <v>122</v>
      </c>
      <c r="B7" s="12">
        <v>3000</v>
      </c>
      <c r="D7" s="17">
        <v>49892</v>
      </c>
      <c r="E7" s="9" t="s">
        <v>198</v>
      </c>
      <c r="G7" s="12">
        <f>SUM(G2:G6)</f>
        <v>164240</v>
      </c>
      <c r="S7" t="s">
        <v>123</v>
      </c>
      <c r="AC7" t="s">
        <v>124</v>
      </c>
    </row>
    <row r="8" spans="1:29" x14ac:dyDescent="0.2">
      <c r="A8" s="6" t="s">
        <v>125</v>
      </c>
      <c r="B8" s="6">
        <v>14000</v>
      </c>
      <c r="D8" s="17">
        <v>46235</v>
      </c>
      <c r="E8" s="9" t="s">
        <v>198</v>
      </c>
      <c r="S8" s="29"/>
    </row>
    <row r="9" spans="1:29" x14ac:dyDescent="0.2">
      <c r="A9" s="6" t="s">
        <v>126</v>
      </c>
      <c r="B9" s="6">
        <v>13000</v>
      </c>
      <c r="C9" s="9" t="s">
        <v>127</v>
      </c>
      <c r="D9" s="17">
        <v>46235</v>
      </c>
      <c r="E9" s="9" t="s">
        <v>198</v>
      </c>
      <c r="S9" t="s">
        <v>121</v>
      </c>
      <c r="T9" s="4">
        <v>46241</v>
      </c>
      <c r="U9">
        <v>1500</v>
      </c>
    </row>
    <row r="10" spans="1:29" x14ac:dyDescent="0.2">
      <c r="A10" s="6" t="s">
        <v>128</v>
      </c>
      <c r="B10" s="6">
        <v>10500</v>
      </c>
      <c r="D10" s="17">
        <v>46239</v>
      </c>
      <c r="E10" s="9" t="s">
        <v>198</v>
      </c>
    </row>
    <row r="11" spans="1:29" hidden="1" x14ac:dyDescent="0.2">
      <c r="A11" s="11" t="s">
        <v>129</v>
      </c>
      <c r="B11" s="11">
        <v>10500</v>
      </c>
      <c r="C11" s="9" t="s">
        <v>8</v>
      </c>
    </row>
    <row r="12" spans="1:29" x14ac:dyDescent="0.2">
      <c r="A12" s="8" t="s">
        <v>130</v>
      </c>
      <c r="B12" s="8">
        <v>9000</v>
      </c>
      <c r="D12" s="17">
        <v>46239</v>
      </c>
      <c r="E12" s="9" t="s">
        <v>198</v>
      </c>
    </row>
    <row r="13" spans="1:29" x14ac:dyDescent="0.2">
      <c r="A13" s="8" t="s">
        <v>131</v>
      </c>
      <c r="B13" s="8">
        <v>8750</v>
      </c>
      <c r="C13" s="9">
        <v>56</v>
      </c>
      <c r="D13" s="17">
        <v>46239</v>
      </c>
      <c r="E13" s="9" t="s">
        <v>198</v>
      </c>
    </row>
    <row r="14" spans="1:29" hidden="1" x14ac:dyDescent="0.2">
      <c r="A14" s="10" t="s">
        <v>132</v>
      </c>
      <c r="B14" s="10">
        <v>5000</v>
      </c>
      <c r="C14" s="9" t="s">
        <v>12</v>
      </c>
    </row>
    <row r="15" spans="1:29" hidden="1" x14ac:dyDescent="0.2">
      <c r="A15" s="10" t="s">
        <v>133</v>
      </c>
      <c r="B15" s="10">
        <v>10000</v>
      </c>
      <c r="C15" s="9" t="s">
        <v>12</v>
      </c>
    </row>
    <row r="16" spans="1:29" x14ac:dyDescent="0.2">
      <c r="A16" t="s">
        <v>134</v>
      </c>
      <c r="B16">
        <v>11000</v>
      </c>
      <c r="C16" s="9" t="s">
        <v>135</v>
      </c>
      <c r="D16" s="17">
        <v>46235</v>
      </c>
      <c r="E16" s="9" t="s">
        <v>198</v>
      </c>
    </row>
    <row r="17" spans="1:5" x14ac:dyDescent="0.2">
      <c r="A17" t="s">
        <v>136</v>
      </c>
      <c r="B17">
        <v>5000</v>
      </c>
      <c r="C17" s="9" t="s">
        <v>135</v>
      </c>
      <c r="D17" s="17">
        <v>46239</v>
      </c>
      <c r="E17" s="9" t="s">
        <v>198</v>
      </c>
    </row>
    <row r="18" spans="1:5" x14ac:dyDescent="0.2">
      <c r="A18" t="s">
        <v>137</v>
      </c>
      <c r="B18">
        <v>11000</v>
      </c>
      <c r="C18" s="9" t="s">
        <v>135</v>
      </c>
      <c r="D18" s="18">
        <v>46235</v>
      </c>
      <c r="E18" s="9" t="s">
        <v>198</v>
      </c>
    </row>
    <row r="19" spans="1:5" hidden="1" x14ac:dyDescent="0.2">
      <c r="A19" t="s">
        <v>138</v>
      </c>
      <c r="B19">
        <v>50000</v>
      </c>
    </row>
    <row r="20" spans="1:5" x14ac:dyDescent="0.2">
      <c r="A20" t="s">
        <v>139</v>
      </c>
      <c r="B20" s="14">
        <v>1600</v>
      </c>
      <c r="D20" s="17">
        <v>46242</v>
      </c>
      <c r="E20" s="9" t="s">
        <v>198</v>
      </c>
    </row>
    <row r="21" spans="1:5" x14ac:dyDescent="0.2">
      <c r="A21" t="s">
        <v>140</v>
      </c>
      <c r="B21">
        <v>23000</v>
      </c>
      <c r="D21" s="17">
        <v>46235</v>
      </c>
      <c r="E21" s="9" t="s">
        <v>198</v>
      </c>
    </row>
    <row r="22" spans="1:5" x14ac:dyDescent="0.2">
      <c r="A22" t="s">
        <v>233</v>
      </c>
      <c r="B22">
        <v>0</v>
      </c>
      <c r="C22" s="9" t="s">
        <v>141</v>
      </c>
      <c r="D22" s="17">
        <v>46242</v>
      </c>
      <c r="E22" s="9" t="s">
        <v>198</v>
      </c>
    </row>
    <row r="23" spans="1:5" x14ac:dyDescent="0.2">
      <c r="A23" t="s">
        <v>200</v>
      </c>
      <c r="B23">
        <v>10000</v>
      </c>
      <c r="D23" s="17">
        <v>46235</v>
      </c>
      <c r="E23" s="9" t="s">
        <v>198</v>
      </c>
    </row>
    <row r="24" spans="1:5" hidden="1" x14ac:dyDescent="0.2">
      <c r="A24" t="s">
        <v>231</v>
      </c>
      <c r="B24">
        <v>21000</v>
      </c>
      <c r="C24" s="9" t="s">
        <v>8</v>
      </c>
    </row>
    <row r="25" spans="1:5" hidden="1" x14ac:dyDescent="0.2">
      <c r="A25" t="s">
        <v>232</v>
      </c>
      <c r="B25">
        <v>5000</v>
      </c>
      <c r="C25" s="9" t="s">
        <v>8</v>
      </c>
    </row>
    <row r="26" spans="1:5" hidden="1" x14ac:dyDescent="0.2">
      <c r="B26">
        <f>SUM(B2:B25)</f>
        <v>272850</v>
      </c>
    </row>
    <row r="1048576" spans="2:2" x14ac:dyDescent="0.2">
      <c r="B1048576">
        <f>SUBTOTAL(9,B26)</f>
        <v>0</v>
      </c>
    </row>
  </sheetData>
  <autoFilter ref="A1:G26" xr:uid="{00000000-0001-0000-0200-000000000000}">
    <filterColumn colId="4">
      <customFilters>
        <customFilter operator="notEqual" val=" "/>
      </custom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048576"/>
  <sheetViews>
    <sheetView zoomScale="130" zoomScaleNormal="130" workbookViewId="0">
      <selection sqref="A1:XFD1"/>
    </sheetView>
  </sheetViews>
  <sheetFormatPr baseColWidth="10" defaultColWidth="11.5" defaultRowHeight="15" x14ac:dyDescent="0.2"/>
  <sheetData>
    <row r="1" spans="1:6" s="3" customFormat="1" x14ac:dyDescent="0.2">
      <c r="A1" s="3" t="s">
        <v>76</v>
      </c>
      <c r="B1" s="3" t="s">
        <v>77</v>
      </c>
      <c r="C1" s="3" t="s">
        <v>78</v>
      </c>
      <c r="D1" s="3" t="s">
        <v>79</v>
      </c>
      <c r="E1" s="3" t="s">
        <v>80</v>
      </c>
      <c r="F1" s="3" t="s">
        <v>81</v>
      </c>
    </row>
    <row r="2" spans="1:6" x14ac:dyDescent="0.2">
      <c r="A2" s="4">
        <v>46232</v>
      </c>
      <c r="B2" s="5">
        <v>0.625</v>
      </c>
      <c r="C2" t="s">
        <v>39</v>
      </c>
      <c r="D2">
        <v>27500</v>
      </c>
      <c r="E2" t="s">
        <v>67</v>
      </c>
      <c r="F2" t="s">
        <v>82</v>
      </c>
    </row>
    <row r="3" spans="1:6" x14ac:dyDescent="0.2">
      <c r="A3" s="4">
        <v>46233</v>
      </c>
      <c r="B3" s="5">
        <v>0.79166666666666663</v>
      </c>
      <c r="C3" t="s">
        <v>83</v>
      </c>
      <c r="D3">
        <v>30000</v>
      </c>
      <c r="E3" t="s">
        <v>67</v>
      </c>
      <c r="F3" t="s">
        <v>82</v>
      </c>
    </row>
    <row r="4" spans="1:6" x14ac:dyDescent="0.2">
      <c r="C4" t="s">
        <v>73</v>
      </c>
      <c r="E4" t="s">
        <v>67</v>
      </c>
      <c r="F4">
        <v>11500</v>
      </c>
    </row>
    <row r="5" spans="1:6" x14ac:dyDescent="0.2">
      <c r="D5">
        <f>SUM(D2:D4)</f>
        <v>57500</v>
      </c>
    </row>
    <row r="1048576" spans="4:4" x14ac:dyDescent="0.2">
      <c r="D1048576">
        <f>SUM(D2:D1048575)</f>
        <v>115000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9E3E-0D81-4DF9-83EF-41B5C1806272}">
  <sheetPr codeName="Sheet28"/>
  <dimension ref="A1:G54"/>
  <sheetViews>
    <sheetView showGridLines="0" topLeftCell="A27" zoomScale="84" workbookViewId="0">
      <selection activeCell="F23" sqref="F23"/>
    </sheetView>
  </sheetViews>
  <sheetFormatPr baseColWidth="10" defaultColWidth="8.83203125" defaultRowHeight="15" x14ac:dyDescent="0.2"/>
  <cols>
    <col min="1" max="2" width="20.6640625" customWidth="1"/>
    <col min="3" max="7" width="15.6640625" customWidth="1"/>
  </cols>
  <sheetData>
    <row r="1" spans="1:7" ht="30" customHeight="1" x14ac:dyDescent="0.2">
      <c r="B1" s="26" t="s">
        <v>229</v>
      </c>
      <c r="C1" s="28">
        <v>46240</v>
      </c>
    </row>
    <row r="2" spans="1:7" ht="30" customHeight="1" x14ac:dyDescent="0.2"/>
    <row r="3" spans="1:7" x14ac:dyDescent="0.2">
      <c r="A3" t="s">
        <v>221</v>
      </c>
      <c r="B3" t="s">
        <v>222</v>
      </c>
      <c r="C3" t="s">
        <v>223</v>
      </c>
      <c r="D3" t="s">
        <v>224</v>
      </c>
      <c r="E3" t="s">
        <v>142</v>
      </c>
      <c r="F3" t="s">
        <v>143</v>
      </c>
      <c r="G3" t="s">
        <v>216</v>
      </c>
    </row>
    <row r="4" spans="1:7" x14ac:dyDescent="0.2">
      <c r="A4" t="s">
        <v>145</v>
      </c>
      <c r="B4" t="s">
        <v>146</v>
      </c>
      <c r="E4">
        <v>0</v>
      </c>
      <c r="G4" t="str">
        <f t="shared" ref="G4:G35" si="0">IF(SUM(C4:D4, F4)&gt;0, (C4+D4)*E4+F4, "")</f>
        <v/>
      </c>
    </row>
    <row r="5" spans="1:7" x14ac:dyDescent="0.2">
      <c r="B5" t="s">
        <v>147</v>
      </c>
      <c r="E5">
        <v>0</v>
      </c>
      <c r="G5" t="str">
        <f t="shared" si="0"/>
        <v/>
      </c>
    </row>
    <row r="6" spans="1:7" x14ac:dyDescent="0.2">
      <c r="B6" t="s">
        <v>148</v>
      </c>
      <c r="E6">
        <v>0</v>
      </c>
      <c r="G6" t="str">
        <f t="shared" si="0"/>
        <v/>
      </c>
    </row>
    <row r="7" spans="1:7" x14ac:dyDescent="0.2">
      <c r="B7" t="s">
        <v>149</v>
      </c>
      <c r="E7">
        <v>0</v>
      </c>
      <c r="G7" t="str">
        <f t="shared" si="0"/>
        <v/>
      </c>
    </row>
    <row r="8" spans="1:7" x14ac:dyDescent="0.2">
      <c r="A8" t="s">
        <v>150</v>
      </c>
      <c r="B8" t="s">
        <v>151</v>
      </c>
      <c r="E8">
        <v>0</v>
      </c>
      <c r="G8" t="str">
        <f t="shared" si="0"/>
        <v/>
      </c>
    </row>
    <row r="9" spans="1:7" x14ac:dyDescent="0.2">
      <c r="B9" t="s">
        <v>152</v>
      </c>
      <c r="E9">
        <v>0</v>
      </c>
      <c r="G9" t="str">
        <f t="shared" si="0"/>
        <v/>
      </c>
    </row>
    <row r="10" spans="1:7" x14ac:dyDescent="0.2">
      <c r="B10" t="s">
        <v>153</v>
      </c>
      <c r="E10">
        <v>0</v>
      </c>
      <c r="G10" t="str">
        <f t="shared" si="0"/>
        <v/>
      </c>
    </row>
    <row r="11" spans="1:7" x14ac:dyDescent="0.2">
      <c r="B11" t="s">
        <v>154</v>
      </c>
      <c r="E11">
        <v>0</v>
      </c>
      <c r="G11" t="str">
        <f t="shared" si="0"/>
        <v/>
      </c>
    </row>
    <row r="12" spans="1:7" x14ac:dyDescent="0.2">
      <c r="B12" t="s">
        <v>155</v>
      </c>
      <c r="E12">
        <v>0</v>
      </c>
      <c r="G12" t="str">
        <f t="shared" si="0"/>
        <v/>
      </c>
    </row>
    <row r="13" spans="1:7" x14ac:dyDescent="0.2">
      <c r="B13" t="s">
        <v>156</v>
      </c>
      <c r="E13">
        <v>0</v>
      </c>
      <c r="G13" t="str">
        <f t="shared" si="0"/>
        <v/>
      </c>
    </row>
    <row r="14" spans="1:7" x14ac:dyDescent="0.2">
      <c r="B14" t="s">
        <v>157</v>
      </c>
      <c r="E14">
        <v>0</v>
      </c>
      <c r="G14" t="str">
        <f t="shared" si="0"/>
        <v/>
      </c>
    </row>
    <row r="15" spans="1:7" x14ac:dyDescent="0.2">
      <c r="B15" t="s">
        <v>158</v>
      </c>
      <c r="E15">
        <v>0</v>
      </c>
      <c r="G15" t="str">
        <f t="shared" si="0"/>
        <v/>
      </c>
    </row>
    <row r="16" spans="1:7" x14ac:dyDescent="0.2">
      <c r="A16" t="s">
        <v>159</v>
      </c>
      <c r="B16" t="s">
        <v>160</v>
      </c>
      <c r="G16" t="str">
        <f t="shared" si="0"/>
        <v/>
      </c>
    </row>
    <row r="17" spans="1:7" x14ac:dyDescent="0.2">
      <c r="B17" t="s">
        <v>225</v>
      </c>
      <c r="G17" t="str">
        <f t="shared" si="0"/>
        <v/>
      </c>
    </row>
    <row r="18" spans="1:7" x14ac:dyDescent="0.2">
      <c r="B18" t="s">
        <v>227</v>
      </c>
      <c r="C18">
        <v>2</v>
      </c>
      <c r="E18">
        <v>270</v>
      </c>
      <c r="G18">
        <f t="shared" si="0"/>
        <v>540</v>
      </c>
    </row>
    <row r="19" spans="1:7" x14ac:dyDescent="0.2">
      <c r="B19" t="s">
        <v>228</v>
      </c>
      <c r="E19">
        <v>0</v>
      </c>
      <c r="G19" t="str">
        <f t="shared" si="0"/>
        <v/>
      </c>
    </row>
    <row r="20" spans="1:7" x14ac:dyDescent="0.2">
      <c r="B20" t="s">
        <v>162</v>
      </c>
      <c r="E20">
        <v>0</v>
      </c>
      <c r="G20" t="str">
        <f t="shared" si="0"/>
        <v/>
      </c>
    </row>
    <row r="21" spans="1:7" x14ac:dyDescent="0.2">
      <c r="B21" t="s">
        <v>163</v>
      </c>
      <c r="E21">
        <v>0</v>
      </c>
      <c r="G21" t="str">
        <f t="shared" si="0"/>
        <v/>
      </c>
    </row>
    <row r="22" spans="1:7" x14ac:dyDescent="0.2">
      <c r="B22" t="s">
        <v>164</v>
      </c>
      <c r="C22">
        <v>4.2</v>
      </c>
      <c r="E22">
        <v>350</v>
      </c>
      <c r="F22">
        <v>70</v>
      </c>
      <c r="G22">
        <f t="shared" si="0"/>
        <v>1540</v>
      </c>
    </row>
    <row r="23" spans="1:7" x14ac:dyDescent="0.2">
      <c r="A23" t="s">
        <v>165</v>
      </c>
      <c r="B23" t="s">
        <v>144</v>
      </c>
      <c r="E23">
        <v>0</v>
      </c>
      <c r="G23" t="str">
        <f t="shared" si="0"/>
        <v/>
      </c>
    </row>
    <row r="24" spans="1:7" x14ac:dyDescent="0.2">
      <c r="B24" t="s">
        <v>166</v>
      </c>
      <c r="E24">
        <v>0</v>
      </c>
      <c r="G24" t="str">
        <f t="shared" si="0"/>
        <v/>
      </c>
    </row>
    <row r="25" spans="1:7" x14ac:dyDescent="0.2">
      <c r="B25" t="s">
        <v>167</v>
      </c>
      <c r="E25">
        <v>0</v>
      </c>
      <c r="G25" t="str">
        <f t="shared" si="0"/>
        <v/>
      </c>
    </row>
    <row r="26" spans="1:7" x14ac:dyDescent="0.2">
      <c r="B26" t="s">
        <v>168</v>
      </c>
      <c r="E26">
        <v>0</v>
      </c>
      <c r="G26" t="str">
        <f t="shared" si="0"/>
        <v/>
      </c>
    </row>
    <row r="27" spans="1:7" x14ac:dyDescent="0.2">
      <c r="B27" t="s">
        <v>169</v>
      </c>
      <c r="E27">
        <v>0</v>
      </c>
      <c r="G27" t="str">
        <f t="shared" si="0"/>
        <v/>
      </c>
    </row>
    <row r="28" spans="1:7" x14ac:dyDescent="0.2">
      <c r="A28" t="s">
        <v>170</v>
      </c>
      <c r="B28" t="s">
        <v>226</v>
      </c>
      <c r="E28">
        <v>0</v>
      </c>
      <c r="G28" t="str">
        <f t="shared" si="0"/>
        <v/>
      </c>
    </row>
    <row r="29" spans="1:7" x14ac:dyDescent="0.2">
      <c r="B29" t="s">
        <v>172</v>
      </c>
      <c r="E29">
        <v>0</v>
      </c>
      <c r="G29" t="str">
        <f t="shared" si="0"/>
        <v/>
      </c>
    </row>
    <row r="30" spans="1:7" x14ac:dyDescent="0.2">
      <c r="B30" t="s">
        <v>173</v>
      </c>
      <c r="E30">
        <v>0</v>
      </c>
      <c r="G30" t="str">
        <f t="shared" si="0"/>
        <v/>
      </c>
    </row>
    <row r="31" spans="1:7" x14ac:dyDescent="0.2">
      <c r="B31" t="s">
        <v>174</v>
      </c>
      <c r="E31">
        <v>0</v>
      </c>
      <c r="G31" t="str">
        <f t="shared" si="0"/>
        <v/>
      </c>
    </row>
    <row r="32" spans="1:7" x14ac:dyDescent="0.2">
      <c r="B32" t="s">
        <v>175</v>
      </c>
      <c r="E32">
        <v>0</v>
      </c>
      <c r="G32" t="str">
        <f t="shared" si="0"/>
        <v/>
      </c>
    </row>
    <row r="33" spans="1:7" x14ac:dyDescent="0.2">
      <c r="A33" t="s">
        <v>176</v>
      </c>
      <c r="B33" t="s">
        <v>177</v>
      </c>
      <c r="E33">
        <v>0</v>
      </c>
      <c r="G33" t="str">
        <f t="shared" si="0"/>
        <v/>
      </c>
    </row>
    <row r="34" spans="1:7" x14ac:dyDescent="0.2">
      <c r="B34" t="s">
        <v>178</v>
      </c>
      <c r="E34">
        <v>0</v>
      </c>
      <c r="G34" t="str">
        <f t="shared" si="0"/>
        <v/>
      </c>
    </row>
    <row r="35" spans="1:7" x14ac:dyDescent="0.2">
      <c r="B35" t="s">
        <v>179</v>
      </c>
      <c r="E35">
        <v>0</v>
      </c>
      <c r="G35" t="str">
        <f t="shared" si="0"/>
        <v/>
      </c>
    </row>
    <row r="36" spans="1:7" x14ac:dyDescent="0.2">
      <c r="B36" t="s">
        <v>180</v>
      </c>
      <c r="E36">
        <v>0</v>
      </c>
      <c r="G36" t="str">
        <f t="shared" ref="G36:G54" si="1">IF(SUM(C36:D36, F36)&gt;0, (C36+D36)*E36+F36, "")</f>
        <v/>
      </c>
    </row>
    <row r="37" spans="1:7" x14ac:dyDescent="0.2">
      <c r="B37" t="s">
        <v>181</v>
      </c>
      <c r="E37">
        <v>0</v>
      </c>
      <c r="G37" t="str">
        <f t="shared" si="1"/>
        <v/>
      </c>
    </row>
    <row r="38" spans="1:7" x14ac:dyDescent="0.2">
      <c r="B38" t="s">
        <v>182</v>
      </c>
      <c r="E38">
        <v>0</v>
      </c>
      <c r="G38" t="str">
        <f t="shared" si="1"/>
        <v/>
      </c>
    </row>
    <row r="39" spans="1:7" x14ac:dyDescent="0.2">
      <c r="A39" t="s">
        <v>183</v>
      </c>
      <c r="B39" t="s">
        <v>184</v>
      </c>
      <c r="E39">
        <v>0</v>
      </c>
      <c r="G39" t="str">
        <f t="shared" si="1"/>
        <v/>
      </c>
    </row>
    <row r="40" spans="1:7" x14ac:dyDescent="0.2">
      <c r="B40" t="s">
        <v>201</v>
      </c>
      <c r="G40" t="str">
        <f t="shared" si="1"/>
        <v/>
      </c>
    </row>
    <row r="41" spans="1:7" x14ac:dyDescent="0.2">
      <c r="B41" t="s">
        <v>202</v>
      </c>
      <c r="G41" t="str">
        <f t="shared" si="1"/>
        <v/>
      </c>
    </row>
    <row r="42" spans="1:7" x14ac:dyDescent="0.2">
      <c r="B42" t="s">
        <v>203</v>
      </c>
      <c r="G42" t="str">
        <f t="shared" si="1"/>
        <v/>
      </c>
    </row>
    <row r="43" spans="1:7" x14ac:dyDescent="0.2">
      <c r="B43" t="s">
        <v>205</v>
      </c>
      <c r="G43" t="str">
        <f t="shared" si="1"/>
        <v/>
      </c>
    </row>
    <row r="44" spans="1:7" x14ac:dyDescent="0.2">
      <c r="A44" t="s">
        <v>185</v>
      </c>
      <c r="B44" t="s">
        <v>186</v>
      </c>
      <c r="E44">
        <v>0</v>
      </c>
      <c r="G44" t="str">
        <f t="shared" si="1"/>
        <v/>
      </c>
    </row>
    <row r="45" spans="1:7" x14ac:dyDescent="0.2">
      <c r="B45" t="s">
        <v>187</v>
      </c>
      <c r="E45">
        <v>0</v>
      </c>
      <c r="G45" t="str">
        <f t="shared" si="1"/>
        <v/>
      </c>
    </row>
    <row r="46" spans="1:7" x14ac:dyDescent="0.2">
      <c r="A46" t="s">
        <v>188</v>
      </c>
      <c r="B46" t="s">
        <v>189</v>
      </c>
      <c r="E46">
        <v>0</v>
      </c>
      <c r="G46" t="str">
        <f t="shared" si="1"/>
        <v/>
      </c>
    </row>
    <row r="47" spans="1:7" x14ac:dyDescent="0.2">
      <c r="B47" t="s">
        <v>190</v>
      </c>
      <c r="E47">
        <v>0</v>
      </c>
      <c r="G47" t="str">
        <f t="shared" si="1"/>
        <v/>
      </c>
    </row>
    <row r="48" spans="1:7" x14ac:dyDescent="0.2">
      <c r="B48" t="s">
        <v>191</v>
      </c>
      <c r="E48">
        <v>0</v>
      </c>
      <c r="G48" t="str">
        <f t="shared" si="1"/>
        <v/>
      </c>
    </row>
    <row r="49" spans="1:7" x14ac:dyDescent="0.2">
      <c r="B49" t="s">
        <v>192</v>
      </c>
      <c r="E49">
        <v>0</v>
      </c>
      <c r="G49" t="str">
        <f t="shared" si="1"/>
        <v/>
      </c>
    </row>
    <row r="50" spans="1:7" x14ac:dyDescent="0.2">
      <c r="A50" t="s">
        <v>207</v>
      </c>
      <c r="B50" t="s">
        <v>208</v>
      </c>
      <c r="G50" t="str">
        <f t="shared" si="1"/>
        <v/>
      </c>
    </row>
    <row r="51" spans="1:7" x14ac:dyDescent="0.2">
      <c r="B51" t="s">
        <v>209</v>
      </c>
      <c r="G51" t="str">
        <f t="shared" si="1"/>
        <v/>
      </c>
    </row>
    <row r="52" spans="1:7" x14ac:dyDescent="0.2">
      <c r="B52" t="s">
        <v>210</v>
      </c>
      <c r="G52" t="str">
        <f t="shared" si="1"/>
        <v/>
      </c>
    </row>
    <row r="53" spans="1:7" x14ac:dyDescent="0.2">
      <c r="A53" t="s">
        <v>212</v>
      </c>
      <c r="B53" t="s">
        <v>211</v>
      </c>
      <c r="E53">
        <v>0</v>
      </c>
      <c r="G53" t="str">
        <f t="shared" si="1"/>
        <v/>
      </c>
    </row>
    <row r="54" spans="1:7" x14ac:dyDescent="0.2">
      <c r="B54" t="s">
        <v>213</v>
      </c>
      <c r="G54" t="str">
        <f t="shared" si="1"/>
        <v/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FA846-9FA8-4210-A91C-87FC9F020C0F}">
  <sheetPr codeName="Sheet27"/>
  <dimension ref="A1:H56"/>
  <sheetViews>
    <sheetView topLeftCell="A42" zoomScale="115" zoomScaleNormal="85" workbookViewId="0">
      <selection activeCell="A54" sqref="A54:H55"/>
    </sheetView>
  </sheetViews>
  <sheetFormatPr baseColWidth="10" defaultColWidth="8.83203125" defaultRowHeight="15" x14ac:dyDescent="0.2"/>
  <cols>
    <col min="1" max="1" width="12.6640625" style="27" customWidth="1"/>
    <col min="2" max="3" width="20.6640625" customWidth="1"/>
    <col min="4" max="8" width="12.6640625" customWidth="1"/>
  </cols>
  <sheetData>
    <row r="1" spans="1:8" x14ac:dyDescent="0.2">
      <c r="A1" s="27" t="s">
        <v>76</v>
      </c>
      <c r="B1" t="s">
        <v>221</v>
      </c>
      <c r="C1" t="s">
        <v>222</v>
      </c>
      <c r="D1" t="s">
        <v>223</v>
      </c>
      <c r="E1" t="s">
        <v>224</v>
      </c>
      <c r="F1" t="s">
        <v>142</v>
      </c>
      <c r="G1" t="s">
        <v>143</v>
      </c>
      <c r="H1" t="s">
        <v>216</v>
      </c>
    </row>
    <row r="2" spans="1:8" x14ac:dyDescent="0.2">
      <c r="A2" s="27">
        <v>46239</v>
      </c>
      <c r="B2" t="s">
        <v>144</v>
      </c>
      <c r="G2">
        <v>110</v>
      </c>
    </row>
    <row r="3" spans="1:8" x14ac:dyDescent="0.2">
      <c r="A3" s="27">
        <v>46239</v>
      </c>
      <c r="B3" t="s">
        <v>145</v>
      </c>
      <c r="C3" t="s">
        <v>146</v>
      </c>
    </row>
    <row r="4" spans="1:8" x14ac:dyDescent="0.2">
      <c r="A4" s="27">
        <v>46239</v>
      </c>
      <c r="C4" t="s">
        <v>147</v>
      </c>
    </row>
    <row r="5" spans="1:8" x14ac:dyDescent="0.2">
      <c r="A5" s="27">
        <v>46239</v>
      </c>
      <c r="C5" t="s">
        <v>148</v>
      </c>
    </row>
    <row r="6" spans="1:8" x14ac:dyDescent="0.2">
      <c r="A6" s="27">
        <v>46239</v>
      </c>
      <c r="C6" t="s">
        <v>149</v>
      </c>
    </row>
    <row r="7" spans="1:8" x14ac:dyDescent="0.2">
      <c r="A7" s="27">
        <v>46239</v>
      </c>
      <c r="B7" t="s">
        <v>150</v>
      </c>
      <c r="C7" t="s">
        <v>151</v>
      </c>
    </row>
    <row r="8" spans="1:8" x14ac:dyDescent="0.2">
      <c r="A8" s="27">
        <v>46239</v>
      </c>
      <c r="C8" t="s">
        <v>152</v>
      </c>
    </row>
    <row r="9" spans="1:8" x14ac:dyDescent="0.2">
      <c r="A9" s="27">
        <v>46239</v>
      </c>
      <c r="C9" t="s">
        <v>153</v>
      </c>
    </row>
    <row r="10" spans="1:8" x14ac:dyDescent="0.2">
      <c r="A10" s="27">
        <v>46239</v>
      </c>
      <c r="C10" t="s">
        <v>154</v>
      </c>
    </row>
    <row r="11" spans="1:8" x14ac:dyDescent="0.2">
      <c r="A11" s="27">
        <v>46239</v>
      </c>
      <c r="C11" t="s">
        <v>155</v>
      </c>
    </row>
    <row r="12" spans="1:8" x14ac:dyDescent="0.2">
      <c r="A12" s="27">
        <v>46239</v>
      </c>
      <c r="C12" t="s">
        <v>156</v>
      </c>
    </row>
    <row r="13" spans="1:8" x14ac:dyDescent="0.2">
      <c r="A13" s="27">
        <v>46239</v>
      </c>
      <c r="C13" t="s">
        <v>157</v>
      </c>
    </row>
    <row r="14" spans="1:8" x14ac:dyDescent="0.2">
      <c r="A14" s="27">
        <v>46239</v>
      </c>
      <c r="C14" t="s">
        <v>158</v>
      </c>
    </row>
    <row r="15" spans="1:8" x14ac:dyDescent="0.2">
      <c r="A15" s="27">
        <v>46239</v>
      </c>
      <c r="B15" t="s">
        <v>159</v>
      </c>
      <c r="C15" t="s">
        <v>160</v>
      </c>
      <c r="D15">
        <v>5</v>
      </c>
      <c r="F15">
        <v>400</v>
      </c>
      <c r="H15">
        <v>2000</v>
      </c>
    </row>
    <row r="16" spans="1:8" x14ac:dyDescent="0.2">
      <c r="A16" s="27">
        <v>46239</v>
      </c>
      <c r="C16" t="s">
        <v>161</v>
      </c>
      <c r="D16">
        <v>10</v>
      </c>
      <c r="F16">
        <v>300</v>
      </c>
      <c r="H16">
        <v>3000</v>
      </c>
    </row>
    <row r="17" spans="1:3" x14ac:dyDescent="0.2">
      <c r="A17" s="27">
        <v>46239</v>
      </c>
      <c r="C17" t="s">
        <v>227</v>
      </c>
    </row>
    <row r="18" spans="1:3" x14ac:dyDescent="0.2">
      <c r="A18" s="27">
        <v>46239</v>
      </c>
      <c r="C18" t="s">
        <v>228</v>
      </c>
    </row>
    <row r="19" spans="1:3" x14ac:dyDescent="0.2">
      <c r="A19" s="27">
        <v>46239</v>
      </c>
      <c r="C19" t="s">
        <v>162</v>
      </c>
    </row>
    <row r="20" spans="1:3" x14ac:dyDescent="0.2">
      <c r="A20" s="27">
        <v>46239</v>
      </c>
      <c r="C20" t="s">
        <v>163</v>
      </c>
    </row>
    <row r="21" spans="1:3" x14ac:dyDescent="0.2">
      <c r="A21" s="27">
        <v>46239</v>
      </c>
      <c r="C21" t="s">
        <v>164</v>
      </c>
    </row>
    <row r="22" spans="1:3" x14ac:dyDescent="0.2">
      <c r="A22" s="27">
        <v>46239</v>
      </c>
      <c r="B22" t="s">
        <v>165</v>
      </c>
      <c r="C22" t="s">
        <v>144</v>
      </c>
    </row>
    <row r="23" spans="1:3" x14ac:dyDescent="0.2">
      <c r="A23" s="27">
        <v>46239</v>
      </c>
      <c r="C23" t="s">
        <v>166</v>
      </c>
    </row>
    <row r="24" spans="1:3" x14ac:dyDescent="0.2">
      <c r="A24" s="27">
        <v>46239</v>
      </c>
      <c r="C24" t="s">
        <v>167</v>
      </c>
    </row>
    <row r="25" spans="1:3" x14ac:dyDescent="0.2">
      <c r="A25" s="27">
        <v>46239</v>
      </c>
      <c r="C25" t="s">
        <v>168</v>
      </c>
    </row>
    <row r="26" spans="1:3" x14ac:dyDescent="0.2">
      <c r="A26" s="27">
        <v>46239</v>
      </c>
      <c r="C26" t="s">
        <v>169</v>
      </c>
    </row>
    <row r="27" spans="1:3" x14ac:dyDescent="0.2">
      <c r="A27" s="27">
        <v>46239</v>
      </c>
      <c r="B27" t="s">
        <v>170</v>
      </c>
      <c r="C27" t="s">
        <v>171</v>
      </c>
    </row>
    <row r="28" spans="1:3" x14ac:dyDescent="0.2">
      <c r="A28" s="27">
        <v>46239</v>
      </c>
      <c r="C28" t="s">
        <v>172</v>
      </c>
    </row>
    <row r="29" spans="1:3" x14ac:dyDescent="0.2">
      <c r="A29" s="27">
        <v>46239</v>
      </c>
      <c r="C29" t="s">
        <v>173</v>
      </c>
    </row>
    <row r="30" spans="1:3" x14ac:dyDescent="0.2">
      <c r="A30" s="27">
        <v>46239</v>
      </c>
      <c r="C30" t="s">
        <v>174</v>
      </c>
    </row>
    <row r="31" spans="1:3" x14ac:dyDescent="0.2">
      <c r="A31" s="27">
        <v>46239</v>
      </c>
      <c r="C31" t="s">
        <v>175</v>
      </c>
    </row>
    <row r="32" spans="1:3" x14ac:dyDescent="0.2">
      <c r="A32" s="27">
        <v>46239</v>
      </c>
      <c r="B32" t="s">
        <v>176</v>
      </c>
      <c r="C32" t="s">
        <v>177</v>
      </c>
    </row>
    <row r="33" spans="1:6" x14ac:dyDescent="0.2">
      <c r="A33" s="27">
        <v>46239</v>
      </c>
      <c r="C33" t="s">
        <v>178</v>
      </c>
    </row>
    <row r="34" spans="1:6" x14ac:dyDescent="0.2">
      <c r="A34" s="27">
        <v>46239</v>
      </c>
      <c r="C34" t="s">
        <v>179</v>
      </c>
    </row>
    <row r="35" spans="1:6" x14ac:dyDescent="0.2">
      <c r="A35" s="27">
        <v>46239</v>
      </c>
      <c r="C35" t="s">
        <v>180</v>
      </c>
    </row>
    <row r="36" spans="1:6" x14ac:dyDescent="0.2">
      <c r="A36" s="27">
        <v>46239</v>
      </c>
      <c r="C36" t="s">
        <v>181</v>
      </c>
    </row>
    <row r="37" spans="1:6" x14ac:dyDescent="0.2">
      <c r="A37" s="27">
        <v>46239</v>
      </c>
      <c r="C37" t="s">
        <v>182</v>
      </c>
    </row>
    <row r="38" spans="1:6" x14ac:dyDescent="0.2">
      <c r="A38" s="27">
        <v>46239</v>
      </c>
      <c r="B38" t="s">
        <v>183</v>
      </c>
      <c r="C38" t="s">
        <v>184</v>
      </c>
    </row>
    <row r="39" spans="1:6" x14ac:dyDescent="0.2">
      <c r="A39" s="27">
        <v>46239</v>
      </c>
      <c r="C39" t="s">
        <v>201</v>
      </c>
      <c r="D39">
        <v>0.7</v>
      </c>
      <c r="F39">
        <v>400</v>
      </c>
    </row>
    <row r="40" spans="1:6" x14ac:dyDescent="0.2">
      <c r="A40" s="27">
        <v>46239</v>
      </c>
      <c r="C40" t="s">
        <v>202</v>
      </c>
      <c r="D40">
        <v>1</v>
      </c>
      <c r="F40">
        <v>220</v>
      </c>
    </row>
    <row r="41" spans="1:6" x14ac:dyDescent="0.2">
      <c r="A41" s="27">
        <v>46239</v>
      </c>
      <c r="C41" t="s">
        <v>203</v>
      </c>
      <c r="E41" t="s">
        <v>204</v>
      </c>
      <c r="F41">
        <v>5</v>
      </c>
    </row>
    <row r="42" spans="1:6" x14ac:dyDescent="0.2">
      <c r="A42" s="27">
        <v>46239</v>
      </c>
      <c r="C42" t="s">
        <v>205</v>
      </c>
      <c r="E42" t="s">
        <v>206</v>
      </c>
      <c r="F42">
        <v>5</v>
      </c>
    </row>
    <row r="43" spans="1:6" x14ac:dyDescent="0.2">
      <c r="A43" s="27">
        <v>46239</v>
      </c>
      <c r="B43" t="s">
        <v>185</v>
      </c>
      <c r="C43" t="s">
        <v>186</v>
      </c>
    </row>
    <row r="44" spans="1:6" x14ac:dyDescent="0.2">
      <c r="A44" s="27">
        <v>46239</v>
      </c>
      <c r="C44" t="s">
        <v>187</v>
      </c>
    </row>
    <row r="45" spans="1:6" x14ac:dyDescent="0.2">
      <c r="A45" s="27">
        <v>46239</v>
      </c>
      <c r="B45" t="s">
        <v>188</v>
      </c>
      <c r="C45" t="s">
        <v>189</v>
      </c>
    </row>
    <row r="46" spans="1:6" x14ac:dyDescent="0.2">
      <c r="A46" s="27">
        <v>46239</v>
      </c>
      <c r="C46" t="s">
        <v>190</v>
      </c>
    </row>
    <row r="47" spans="1:6" x14ac:dyDescent="0.2">
      <c r="A47" s="27">
        <v>46239</v>
      </c>
      <c r="C47" t="s">
        <v>191</v>
      </c>
    </row>
    <row r="48" spans="1:6" x14ac:dyDescent="0.2">
      <c r="A48" s="27">
        <v>46239</v>
      </c>
      <c r="C48" t="s">
        <v>192</v>
      </c>
    </row>
    <row r="49" spans="1:8" x14ac:dyDescent="0.2">
      <c r="A49" s="27">
        <v>46239</v>
      </c>
      <c r="B49" t="s">
        <v>207</v>
      </c>
      <c r="C49" t="s">
        <v>208</v>
      </c>
      <c r="D49">
        <v>1</v>
      </c>
      <c r="F49">
        <v>560</v>
      </c>
    </row>
    <row r="50" spans="1:8" x14ac:dyDescent="0.2">
      <c r="A50" s="27">
        <v>46239</v>
      </c>
      <c r="C50" t="s">
        <v>209</v>
      </c>
      <c r="D50">
        <v>0.5</v>
      </c>
      <c r="F50">
        <v>900</v>
      </c>
      <c r="G50">
        <v>70</v>
      </c>
    </row>
    <row r="51" spans="1:8" x14ac:dyDescent="0.2">
      <c r="A51" s="27">
        <v>46239</v>
      </c>
      <c r="C51" t="s">
        <v>210</v>
      </c>
      <c r="D51">
        <v>0.5</v>
      </c>
      <c r="F51">
        <v>600</v>
      </c>
    </row>
    <row r="52" spans="1:8" x14ac:dyDescent="0.2">
      <c r="A52" s="27">
        <v>46239</v>
      </c>
      <c r="B52" t="s">
        <v>212</v>
      </c>
      <c r="C52" t="s">
        <v>211</v>
      </c>
    </row>
    <row r="53" spans="1:8" x14ac:dyDescent="0.2">
      <c r="A53" s="27">
        <v>46239</v>
      </c>
      <c r="C53" t="s">
        <v>213</v>
      </c>
      <c r="E53">
        <v>40</v>
      </c>
      <c r="F53">
        <v>10</v>
      </c>
    </row>
    <row r="54" spans="1:8" x14ac:dyDescent="0.2">
      <c r="A54" s="27">
        <v>46240</v>
      </c>
      <c r="C54" t="s">
        <v>227</v>
      </c>
      <c r="D54">
        <v>2</v>
      </c>
      <c r="F54">
        <v>270</v>
      </c>
      <c r="H54">
        <v>540</v>
      </c>
    </row>
    <row r="55" spans="1:8" x14ac:dyDescent="0.2">
      <c r="A55" s="27">
        <v>46240</v>
      </c>
      <c r="C55" t="s">
        <v>164</v>
      </c>
      <c r="D55">
        <v>4.2</v>
      </c>
      <c r="F55">
        <v>350</v>
      </c>
      <c r="G55">
        <v>70</v>
      </c>
      <c r="H55">
        <v>1540</v>
      </c>
    </row>
    <row r="56" spans="1:8" x14ac:dyDescent="0.2">
      <c r="A56" s="27">
        <v>46270</v>
      </c>
    </row>
  </sheetData>
  <conditionalFormatting sqref="A2:A55">
    <cfRule type="expression" dxfId="0" priority="1">
      <formula>$A2=$A1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"/>
  <sheetViews>
    <sheetView zoomScale="134" zoomScaleNormal="130" workbookViewId="0">
      <selection activeCell="F2" sqref="F2"/>
    </sheetView>
  </sheetViews>
  <sheetFormatPr baseColWidth="10" defaultColWidth="11.5" defaultRowHeight="15" x14ac:dyDescent="0.2"/>
  <cols>
    <col min="1" max="1" width="6.83203125" customWidth="1"/>
    <col min="2" max="2" width="7.6640625" customWidth="1"/>
    <col min="3" max="3" width="13.6640625" customWidth="1"/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68</v>
      </c>
      <c r="E2">
        <f>SUMIF('RENT DATA'!A:A, "MUJIB*", 'RENT DATA'!C:C)</f>
        <v>25000</v>
      </c>
      <c r="G2" t="str">
        <f>VLOOKUP("MUJIB*", 'RENT DATA'!A:E, 5, FALSE)</f>
        <v>GRP 4</v>
      </c>
      <c r="H2">
        <f>E2-F2</f>
        <v>25000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2"/>
  <sheetViews>
    <sheetView zoomScale="130" zoomScaleNormal="130"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70</v>
      </c>
      <c r="E2">
        <f>SUMIF('RENT DATA'!A:A, "PERVAZ*", 'RENT DATA'!C:C)</f>
        <v>45000</v>
      </c>
      <c r="G2" t="str">
        <f>VLOOKUP("PERVAZ*", 'RENT DATA'!A:E, 5, FALSE)</f>
        <v>GRP 5</v>
      </c>
      <c r="H2">
        <f>E2-F2</f>
        <v>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2"/>
  <sheetViews>
    <sheetView workbookViewId="0">
      <selection activeCell="I20" sqref="I20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/>
      <c r="D2" t="s">
        <v>73</v>
      </c>
      <c r="E2">
        <f>SUMIF('RENT DATA'!A:A, "AZHAR*", 'RENT DATA'!C:C)</f>
        <v>11500</v>
      </c>
      <c r="G2" t="str">
        <f>VLOOKUP("AZHAR*", 'RENT DATA'!A:E, 5, FALSE)</f>
        <v>GRP 5</v>
      </c>
      <c r="H2">
        <f>E2-F2</f>
        <v>11500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58</v>
      </c>
      <c r="E2">
        <f>SUMIF('RENT DATA'!A:A, "HYDER*", 'RENT DATA'!C:C)</f>
        <v>25000</v>
      </c>
      <c r="G2" t="str">
        <f>VLOOKUP("HYDER*", 'RENT DATA'!A:E, 5, FALSE)</f>
        <v>GRP 3</v>
      </c>
      <c r="H2">
        <f>E2-F2</f>
        <v>25000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2"/>
  <sheetViews>
    <sheetView workbookViewId="0">
      <selection activeCell="F2" sqref="F2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59</v>
      </c>
      <c r="E2">
        <f>SUMIF('RENT DATA'!A:A, "RAFAT*", 'RENT DATA'!C:C)</f>
        <v>15000</v>
      </c>
      <c r="G2" t="str">
        <f>VLOOKUP("RAFAT*", 'RENT DATA'!A:E, 5, FALSE)</f>
        <v>GRP 3</v>
      </c>
      <c r="H2">
        <f>E2-F2</f>
        <v>15000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55</v>
      </c>
      <c r="E2">
        <f>SUMIF('RENT DATA'!A:A, "MOIN*", 'RENT DATA'!C:C)</f>
        <v>27000</v>
      </c>
      <c r="G2" t="str">
        <f>VLOOKUP("MOIN*", 'RENT DATA'!A:E, 5, FALSE)</f>
        <v>GRP 3</v>
      </c>
      <c r="H2">
        <f>E2-F2</f>
        <v>27000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4"/>
  <sheetViews>
    <sheetView zoomScale="261" zoomScaleNormal="145" workbookViewId="0">
      <selection activeCell="A3" sqref="A3"/>
    </sheetView>
  </sheetViews>
  <sheetFormatPr baseColWidth="10" defaultColWidth="11.5" defaultRowHeight="15" x14ac:dyDescent="0.2"/>
  <cols>
    <col min="3" max="3" width="14" customWidth="1"/>
    <col min="6" max="6" width="15" customWidth="1"/>
  </cols>
  <sheetData>
    <row r="1" spans="1:8" s="3" customFormat="1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46235</v>
      </c>
      <c r="B2" t="s">
        <v>195</v>
      </c>
      <c r="C2" t="s">
        <v>196</v>
      </c>
      <c r="D2" t="s">
        <v>197</v>
      </c>
      <c r="E2">
        <f>SUMIF('RENT DATA'!A:A, "ANAS*", 'RENT DATA'!C:C)</f>
        <v>119600</v>
      </c>
      <c r="F2">
        <v>119600</v>
      </c>
      <c r="G2" t="str">
        <f>VLOOKUP("ANAS*", 'RENT DATA'!A:E, 5, FALSE)</f>
        <v>GRP 1</v>
      </c>
      <c r="H2">
        <f>E2-F2</f>
        <v>0</v>
      </c>
    </row>
    <row r="3" spans="1:8" x14ac:dyDescent="0.2">
      <c r="A3" s="4">
        <v>46266</v>
      </c>
      <c r="D3" t="s">
        <v>197</v>
      </c>
      <c r="E3">
        <f>SUMIF('RENT DATA'!A:A, "ANAS*", 'RENT DATA'!C:C)</f>
        <v>119600</v>
      </c>
      <c r="G3" t="str">
        <f>VLOOKUP("ANAS*", 'RENT DATA'!A:E, 5, FALSE)</f>
        <v>GRP 1</v>
      </c>
      <c r="H3">
        <f>E3-F3</f>
        <v>119600</v>
      </c>
    </row>
    <row r="4" spans="1:8" x14ac:dyDescent="0.2">
      <c r="A4" s="4">
        <v>46296</v>
      </c>
      <c r="D4" t="s">
        <v>197</v>
      </c>
      <c r="E4">
        <f>SUMIF('RENT DATA'!A:A, "ANAS*", 'RENT DATA'!C:C)</f>
        <v>119600</v>
      </c>
      <c r="G4" t="str">
        <f>VLOOKUP("ANAS*", 'RENT DATA'!A:E, 5, FALSE)</f>
        <v>GRP 1</v>
      </c>
      <c r="H4">
        <f>E4-F4</f>
        <v>119600</v>
      </c>
    </row>
  </sheetData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H2"/>
  <sheetViews>
    <sheetView zoomScale="160" zoomScaleNormal="160" workbookViewId="0">
      <selection activeCell="C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46239</v>
      </c>
      <c r="B2" t="s">
        <v>195</v>
      </c>
      <c r="C2" t="s">
        <v>196</v>
      </c>
      <c r="D2" t="s">
        <v>14</v>
      </c>
      <c r="E2">
        <f>SUMIF('RENT DATA'!A:A, "AZIM*", 'RENT DATA'!C:C)</f>
        <v>26000</v>
      </c>
      <c r="F2">
        <v>26000</v>
      </c>
      <c r="G2" t="str">
        <f>VLOOKUP("AZIM*", 'RENT DATA'!A:E, 5, FALSE)</f>
        <v>GRP 1</v>
      </c>
      <c r="H2">
        <f>E2-F2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4"/>
  <sheetViews>
    <sheetView zoomScale="349" workbookViewId="0">
      <selection activeCell="D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46238</v>
      </c>
      <c r="B2" t="s">
        <v>195</v>
      </c>
      <c r="C2" t="s">
        <v>196</v>
      </c>
      <c r="D2" t="s">
        <v>18</v>
      </c>
      <c r="E2">
        <f>SUMIF('RENT DATA'!A:A, "SONU*", 'RENT DATA'!C:C)</f>
        <v>20000</v>
      </c>
      <c r="F2">
        <v>20000</v>
      </c>
      <c r="G2" t="str">
        <f>VLOOKUP("SONU*", 'RENT DATA'!A:E, 5, FALSE)</f>
        <v>GRP 1</v>
      </c>
      <c r="H2">
        <f>E2-F2</f>
        <v>0</v>
      </c>
    </row>
    <row r="3" spans="1:8" x14ac:dyDescent="0.2">
      <c r="A3" s="4"/>
    </row>
    <row r="4" spans="1:8" x14ac:dyDescent="0.2">
      <c r="A4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3"/>
  <sheetViews>
    <sheetView zoomScale="222" workbookViewId="0">
      <selection activeCell="A3" sqref="A3:XFD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46240</v>
      </c>
      <c r="C2" t="s">
        <v>196</v>
      </c>
      <c r="D2" t="s">
        <v>22</v>
      </c>
      <c r="E2">
        <f>SUMIF('RENT DATA'!A:A, "DUBEY JI*", 'RENT DATA'!C:C)</f>
        <v>50000</v>
      </c>
      <c r="F2">
        <v>50000</v>
      </c>
      <c r="G2" t="str">
        <f>VLOOKUP("DUBEY JI*", 'RENT DATA'!A:E, 5, FALSE)</f>
        <v>GRP 1</v>
      </c>
      <c r="H2">
        <f>E2-F2</f>
        <v>0</v>
      </c>
    </row>
    <row r="3" spans="1:8" x14ac:dyDescent="0.2">
      <c r="D3" t="s">
        <v>22</v>
      </c>
      <c r="E3">
        <f>SUMIF('RENT DATA'!A:A, "DUBEY JI*", 'RENT DATA'!C:C)</f>
        <v>50000</v>
      </c>
      <c r="G3" t="str">
        <f>VLOOKUP("DUBEY JI*", 'RENT DATA'!A:E, 5, FALSE)</f>
        <v>GRP 1</v>
      </c>
      <c r="H3">
        <f>E3-F3</f>
        <v>50000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3"/>
  <sheetViews>
    <sheetView zoomScale="241" workbookViewId="0">
      <selection activeCell="F3" sqref="F3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46244</v>
      </c>
      <c r="C2" t="s">
        <v>196</v>
      </c>
      <c r="D2" t="s">
        <v>25</v>
      </c>
      <c r="E2">
        <f>SUMIF('RENT DATA'!A:A, "KAMAL*", 'RENT DATA'!C:C)</f>
        <v>20000</v>
      </c>
      <c r="F2">
        <v>20000</v>
      </c>
      <c r="G2" t="str">
        <f>VLOOKUP("KAMAL*", 'RENT DATA'!A:E, 5, FALSE)</f>
        <v>GRP 1</v>
      </c>
      <c r="H2">
        <f>E2-F2</f>
        <v>0</v>
      </c>
    </row>
    <row r="3" spans="1:8" x14ac:dyDescent="0.2">
      <c r="A3" s="4">
        <v>46275</v>
      </c>
      <c r="D3" t="s">
        <v>25</v>
      </c>
      <c r="E3">
        <f>SUMIF('RENT DATA'!A:A, "KAMAL*", 'RENT DATA'!C:C)</f>
        <v>20000</v>
      </c>
      <c r="G3" t="str">
        <f>VLOOKUP("KAMAL*", 'RENT DATA'!A:E, 5, FALSE)</f>
        <v>GRP 1</v>
      </c>
      <c r="H3">
        <f>E3-F3</f>
        <v>20000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H2"/>
  <sheetViews>
    <sheetView zoomScale="200"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35</v>
      </c>
      <c r="E2">
        <f>SUMIF('RENT DATA'!A:A, "EJAZ*", 'RENT DATA'!C:C)</f>
        <v>75000</v>
      </c>
      <c r="G2" t="str">
        <f>VLOOKUP("EJAZ*", 'RENT DATA'!A:E, 5, FALSE)</f>
        <v>GRP 2</v>
      </c>
      <c r="H2">
        <f>E2-F2</f>
        <v>75000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H2"/>
  <sheetViews>
    <sheetView zoomScale="130" zoomScaleNormal="130"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46</v>
      </c>
      <c r="E2">
        <f>SUMIF('RENT DATA'!A:A, "NEHAL*", 'RENT DATA'!C:C)</f>
        <v>209000</v>
      </c>
      <c r="G2" t="str">
        <f>VLOOKUP("NEHAL*", 'RENT DATA'!A:E, 5, FALSE)</f>
        <v>GRP 2</v>
      </c>
      <c r="H2">
        <f>E2-F2</f>
        <v>209000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H2"/>
  <sheetViews>
    <sheetView workbookViewId="0">
      <selection activeCell="N39" sqref="N39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37</v>
      </c>
      <c r="E2">
        <f>SUMIF('RENT DATA'!A:A, "ANUJ*", 'RENT DATA'!C:C)</f>
        <v>27500</v>
      </c>
      <c r="G2" t="str">
        <f>VLOOKUP("ANUJ*", 'RENT DATA'!A:E, 5, FALSE)</f>
        <v>GRP 2</v>
      </c>
      <c r="H2">
        <f>E2-F2</f>
        <v>27500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43</v>
      </c>
      <c r="E2">
        <f>SUMIF('RENT DATA'!A:A, "ATIQUE*", 'RENT DATA'!C:C)</f>
        <v>20000</v>
      </c>
      <c r="G2" t="str">
        <f>VLOOKUP("ATIQUE*", 'RENT DATA'!A:E, 5, FALSE)</f>
        <v>GRP 2</v>
      </c>
      <c r="H2">
        <f>E2-F2</f>
        <v>20000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65</v>
      </c>
      <c r="E2">
        <f>SUMIF('RENT DATA'!A:A, "RANJAN*", 'RENT DATA'!C:C)</f>
        <v>62500</v>
      </c>
      <c r="G2" t="str">
        <f>VLOOKUP("RANJAN*", 'RENT DATA'!A:E, 5, FALSE)</f>
        <v>GRP 2</v>
      </c>
      <c r="H2">
        <f>E2-F2</f>
        <v>62500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2"/>
  <dimension ref="A1:H2"/>
  <sheetViews>
    <sheetView workbookViewId="0">
      <selection sqref="A1:G1"/>
    </sheetView>
  </sheetViews>
  <sheetFormatPr baseColWidth="10" defaultColWidth="11.5" defaultRowHeight="15" x14ac:dyDescent="0.2"/>
  <cols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48</v>
      </c>
      <c r="E2">
        <f>SUMIF('RENT DATA'!A:A, "MANISH*", 'RENT DATA'!C:C)</f>
        <v>38000</v>
      </c>
      <c r="G2" t="str">
        <f>VLOOKUP("MANISH*", 'RENT DATA'!A:E, 5, FALSE)</f>
        <v>GRP 2</v>
      </c>
      <c r="H2">
        <f>E2-F2</f>
        <v>38000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H2"/>
  <sheetViews>
    <sheetView workbookViewId="0">
      <selection activeCell="D4" sqref="D4"/>
    </sheetView>
  </sheetViews>
  <sheetFormatPr baseColWidth="10" defaultColWidth="11.5" defaultRowHeight="15" x14ac:dyDescent="0.2"/>
  <cols>
    <col min="3" max="3" width="15.6640625" bestFit="1" customWidth="1"/>
    <col min="6" max="6" width="1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D2" t="s">
        <v>50</v>
      </c>
      <c r="E2">
        <f>SUMIF('RENT DATA'!A:A, "SUNNY*", 'RENT DATA'!C:C)</f>
        <v>16000</v>
      </c>
      <c r="G2" t="str">
        <f>VLOOKUP("SUNNY*", 'RENT DATA'!A:E, 5, FALSE)</f>
        <v>GRP 2</v>
      </c>
      <c r="H2">
        <f>E2-F2</f>
        <v>16000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2"/>
  <dimension ref="A1:H3"/>
  <sheetViews>
    <sheetView zoomScale="288" zoomScaleNormal="115" workbookViewId="0">
      <selection activeCell="F3" sqref="F3"/>
    </sheetView>
  </sheetViews>
  <sheetFormatPr baseColWidth="10" defaultColWidth="8.83203125" defaultRowHeight="15" x14ac:dyDescent="0.2"/>
  <cols>
    <col min="1" max="1" width="15.6640625" customWidth="1"/>
    <col min="2" max="2" width="12.6640625" customWidth="1"/>
    <col min="3" max="3" width="20.6640625" customWidth="1"/>
    <col min="4" max="5" width="15.6640625" customWidth="1"/>
    <col min="6" max="6" width="15" customWidth="1"/>
    <col min="7" max="7" width="15.6640625" customWidth="1"/>
  </cols>
  <sheetData>
    <row r="1" spans="1:8" x14ac:dyDescent="0.2">
      <c r="A1" s="3" t="s">
        <v>76</v>
      </c>
      <c r="B1" s="3" t="s">
        <v>77</v>
      </c>
      <c r="C1" s="3" t="s">
        <v>193</v>
      </c>
      <c r="D1" s="3" t="s">
        <v>78</v>
      </c>
      <c r="E1" s="3" t="s">
        <v>79</v>
      </c>
      <c r="F1" s="15" t="s">
        <v>194</v>
      </c>
      <c r="G1" s="3" t="s">
        <v>80</v>
      </c>
      <c r="H1" s="16" t="s">
        <v>81</v>
      </c>
    </row>
    <row r="2" spans="1:8" x14ac:dyDescent="0.2">
      <c r="A2" s="4">
        <v>46235</v>
      </c>
      <c r="C2" t="s">
        <v>196</v>
      </c>
      <c r="D2" t="s">
        <v>11</v>
      </c>
      <c r="E2">
        <f>SUMIF('RENT DATA'!A:A, "NOOR MD.*", 'RENT DATA'!C:C)</f>
        <v>11000</v>
      </c>
      <c r="F2">
        <v>11000</v>
      </c>
      <c r="G2" t="str">
        <f>VLOOKUP("NOOR MD.*", 'RENT DATA'!A:E, 5, FALSE)</f>
        <v>GRP 1</v>
      </c>
      <c r="H2">
        <f>E2-F2</f>
        <v>0</v>
      </c>
    </row>
    <row r="3" spans="1:8" x14ac:dyDescent="0.2">
      <c r="A3" s="4">
        <v>46266</v>
      </c>
      <c r="D3" t="s">
        <v>11</v>
      </c>
      <c r="E3">
        <f>SUMIF('RENT DATA'!A:A, "NOOR MD.*", 'RENT DATA'!C:C)</f>
        <v>11000</v>
      </c>
      <c r="G3" t="str">
        <f>VLOOKUP("NOOR MD.*", 'RENT DATA'!A:E, 5, FALSE)</f>
        <v>GRP 1</v>
      </c>
      <c r="H3">
        <f>E3-F3</f>
        <v>11000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RENT DATA</vt:lpstr>
      <vt:lpstr>EXPENDITURE</vt:lpstr>
      <vt:lpstr>PAYMENT SHEET</vt:lpstr>
      <vt:lpstr>PURCHASE SHEET</vt:lpstr>
      <vt:lpstr>DATABASE_PURCHASE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RANJAN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Adinul Arfin</cp:lastModifiedBy>
  <dcterms:created xsi:type="dcterms:W3CDTF">2026-07-28T11:35:20Z</dcterms:created>
  <dcterms:modified xsi:type="dcterms:W3CDTF">2026-08-10T11:04:39Z</dcterms:modified>
</cp:coreProperties>
</file>