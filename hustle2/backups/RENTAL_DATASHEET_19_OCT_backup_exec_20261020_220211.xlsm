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LLG\hustle\hustle2\"/>
    </mc:Choice>
  </mc:AlternateContent>
  <xr:revisionPtr revIDLastSave="0" documentId="13_ncr:1_{694C4EC8-12AB-4879-BE60-6739061B9B99}" xr6:coauthVersionLast="47" xr6:coauthVersionMax="47" xr10:uidLastSave="{00000000-0000-0000-0000-000000000000}"/>
  <bookViews>
    <workbookView xWindow="-120" yWindow="-120" windowWidth="29040" windowHeight="16440" tabRatio="938" activeTab="1" xr2:uid="{00000000-000D-0000-FFFF-FFFF00000000}"/>
  </bookViews>
  <sheets>
    <sheet name="todays_rent_data" sheetId="1" r:id="rId1"/>
    <sheet name="TODAYS_EXPENDITURE" sheetId="3" r:id="rId2"/>
    <sheet name="DATABASE_EXPENDITURE" sheetId="29" r:id="rId3"/>
    <sheet name="PURCHASE SHEET" sheetId="28" r:id="rId4"/>
    <sheet name="DATABASE_PURCHASE" sheetId="27" r:id="rId5"/>
    <sheet name="MISCELLANEOUS" sheetId="30" r:id="rId6"/>
    <sheet name="RENT PERSONS MISCELLANEOUS" sheetId="31" r:id="rId7"/>
    <sheet name="RANJAN" sheetId="20" r:id="rId8"/>
    <sheet name="MUJIB" sheetId="5" r:id="rId9"/>
    <sheet name="NEHAL" sheetId="17" r:id="rId10"/>
    <sheet name="PERVAZ" sheetId="6" r:id="rId11"/>
    <sheet name="AZHAR" sheetId="7" r:id="rId12"/>
    <sheet name="HYDER" sheetId="8" r:id="rId13"/>
    <sheet name="MOIN" sheetId="10" r:id="rId14"/>
    <sheet name="RAFAT" sheetId="9" r:id="rId15"/>
    <sheet name="ANAS" sheetId="11" r:id="rId16"/>
    <sheet name="AZIM" sheetId="12" r:id="rId17"/>
    <sheet name="SONU" sheetId="13" r:id="rId18"/>
    <sheet name="DUBEY JI" sheetId="14" r:id="rId19"/>
    <sheet name="KAMAL" sheetId="15" r:id="rId20"/>
    <sheet name="EJAZ" sheetId="16" r:id="rId21"/>
    <sheet name="ANUJ" sheetId="18" r:id="rId22"/>
    <sheet name="ATIQUE" sheetId="19" r:id="rId23"/>
    <sheet name="MANISH" sheetId="21" r:id="rId24"/>
    <sheet name="SUNNY" sheetId="22" r:id="rId25"/>
    <sheet name="NOOR MD." sheetId="23" r:id="rId26"/>
  </sheets>
  <functionGroups builtInGroupCount="19"/>
  <definedNames>
    <definedName name="_xlnm._FilterDatabase" localSheetId="2" hidden="1">DATABASE_EXPENDITURE!$A$1:$G$1</definedName>
    <definedName name="_xlnm._FilterDatabase" localSheetId="1" hidden="1">TODAYS_EXPENDITURE!$A$1:$L$1</definedName>
    <definedName name="_xlnm._FilterDatabase" localSheetId="0" hidden="1">todays_rent_data!$B$1:$N$1</definedName>
  </definedNames>
  <calcPr calcId="191029"/>
  <pivotCaches>
    <pivotCache cacheId="0" r:id="rId27"/>
  </pivotCaches>
</workbook>
</file>

<file path=xl/calcChain.xml><?xml version="1.0" encoding="utf-8"?>
<calcChain xmlns="http://schemas.openxmlformats.org/spreadsheetml/2006/main">
  <c r="O6" i="1" l="1"/>
  <c r="N6" i="1"/>
  <c r="M6" i="1"/>
  <c r="B33" i="3"/>
  <c r="L8" i="3"/>
  <c r="P7" i="3"/>
  <c r="AQ6" i="3"/>
  <c r="B64" i="29"/>
  <c r="L40" i="29"/>
  <c r="P39" i="29"/>
  <c r="B33" i="29"/>
  <c r="L8" i="29"/>
  <c r="P7" i="29"/>
  <c r="AQ6" i="29"/>
  <c r="D34" i="1" l="1"/>
  <c r="D29" i="1"/>
  <c r="D24" i="1"/>
  <c r="D12" i="1"/>
  <c r="E2" i="5"/>
  <c r="D35" i="1" l="1"/>
  <c r="G3" i="12"/>
  <c r="H3" i="13" l="1"/>
  <c r="H92" i="27" l="1"/>
  <c r="H2" i="20"/>
  <c r="H3" i="20"/>
  <c r="G3" i="15"/>
  <c r="E3" i="15"/>
  <c r="E3" i="14"/>
  <c r="G3" i="14"/>
  <c r="E3" i="11"/>
  <c r="G3" i="23"/>
  <c r="E3" i="23"/>
  <c r="G2" i="23"/>
  <c r="E2" i="23"/>
  <c r="H2" i="23" s="1"/>
  <c r="G2" i="22"/>
  <c r="E2" i="22"/>
  <c r="H2" i="22" s="1"/>
  <c r="G2" i="21"/>
  <c r="E2" i="21"/>
  <c r="H2" i="21" s="1"/>
  <c r="G2" i="20"/>
  <c r="G2" i="19"/>
  <c r="E2" i="19"/>
  <c r="H2" i="19" s="1"/>
  <c r="G2" i="18"/>
  <c r="E2" i="18"/>
  <c r="H2" i="18" s="1"/>
  <c r="G2" i="17"/>
  <c r="E2" i="17"/>
  <c r="H2" i="17" s="1"/>
  <c r="G2" i="16"/>
  <c r="E2" i="16"/>
  <c r="H2" i="16" s="1"/>
  <c r="G2" i="15"/>
  <c r="E2" i="15"/>
  <c r="G2" i="14"/>
  <c r="E2" i="14"/>
  <c r="H2" i="14" s="1"/>
  <c r="G2" i="13"/>
  <c r="E2" i="13"/>
  <c r="H2" i="13" s="1"/>
  <c r="G2" i="12"/>
  <c r="E2" i="12"/>
  <c r="H2" i="12" s="1"/>
  <c r="G2" i="11"/>
  <c r="E2" i="11"/>
  <c r="H2" i="11" s="1"/>
  <c r="G2" i="10"/>
  <c r="G2" i="9"/>
  <c r="E2" i="9"/>
  <c r="H2" i="9" s="1"/>
  <c r="G2" i="8"/>
  <c r="E2" i="8"/>
  <c r="H2" i="8" s="1"/>
  <c r="G2" i="7"/>
  <c r="E2" i="7"/>
  <c r="H2" i="7" s="1"/>
  <c r="G2" i="6"/>
  <c r="E2" i="6"/>
  <c r="H2" i="6" s="1"/>
  <c r="G2" i="5"/>
</calcChain>
</file>

<file path=xl/sharedStrings.xml><?xml version="1.0" encoding="utf-8"?>
<sst xmlns="http://schemas.openxmlformats.org/spreadsheetml/2006/main" count="1310" uniqueCount="369">
  <si>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</si>
  <si>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</si>
  <si>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</si>
  <si>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</si>
  <si>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</si>
  <si>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</si>
  <si>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</si>
  <si>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</si>
  <si>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</si>
  <si>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</si>
  <si>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</si>
  <si>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</si>
  <si>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</si>
  <si>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</si>
  <si>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</si>
  <si>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</si>
  <si>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</si>
  <si>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</si>
  <si>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</si>
  <si>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</si>
  <si>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</si>
  <si>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</si>
  <si>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</si>
  <si>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</si>
  <si>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</si>
  <si>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KAMAL</t>
  </si>
  <si>
    <t>SHED 3 / HALL 3</t>
  </si>
  <si>
    <t>ANAS 3</t>
  </si>
  <si>
    <t>SHED 3 / HALL 5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</si>
  <si>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</si>
  <si>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</si>
  <si>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</si>
  <si>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</si>
  <si>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</si>
  <si>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</si>
  <si>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</si>
  <si>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</si>
  <si>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</si>
  <si>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</si>
  <si>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</si>
  <si>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</si>
  <si>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</si>
  <si>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</si>
  <si>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</si>
  <si>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 xml:space="preserve"> 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</si>
  <si>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</si>
  <si>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</si>
  <si>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</si>
  <si>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</si>
  <si>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</si>
  <si>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</si>
  <si>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</si>
  <si>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</si>
  <si>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MOIN</t>
  </si>
  <si>
    <t>SHED 2 /  HALL 1</t>
  </si>
  <si>
    <t>GRP 3</t>
  </si>
  <si>
    <t>HYDER</t>
  </si>
  <si>
    <t>RAFAT</t>
  </si>
  <si>
    <t>BARI</t>
  </si>
  <si>
    <t>GR FLR</t>
  </si>
  <si>
    <t>MOIN 2</t>
  </si>
  <si>
    <t>BUILD / 1ST FLR</t>
  </si>
  <si>
    <t>RANJAN</t>
  </si>
  <si>
    <t>BUILD / 1ST FLR / HALL 2</t>
  </si>
  <si>
    <t>GRP 4</t>
  </si>
  <si>
    <t>MUJIB</t>
  </si>
  <si>
    <t>PERVAZ</t>
  </si>
  <si>
    <t>SHED 4 / HALL 1</t>
  </si>
  <si>
    <t>AZHAR</t>
  </si>
  <si>
    <t>Grand Total</t>
  </si>
  <si>
    <t>DATE</t>
  </si>
  <si>
    <t>TIME</t>
  </si>
  <si>
    <t>NAME</t>
  </si>
  <si>
    <t>AMOUNT</t>
  </si>
  <si>
    <t>GROUP</t>
  </si>
  <si>
    <t>DUE</t>
  </si>
  <si>
    <t>SALARIES</t>
  </si>
  <si>
    <t xml:space="preserve">CESC / URP </t>
  </si>
  <si>
    <t>CESC / RESD</t>
  </si>
  <si>
    <t>DIGRUM / URP</t>
  </si>
  <si>
    <t>ANIMAL FEED</t>
  </si>
  <si>
    <t>FUEL / GAS</t>
  </si>
  <si>
    <t>MEDICAL</t>
  </si>
  <si>
    <t>REPAIR</t>
  </si>
  <si>
    <t>OVERALL TOTAL</t>
  </si>
  <si>
    <t>RELIGION</t>
  </si>
  <si>
    <t>NAIM</t>
  </si>
  <si>
    <t>M/P</t>
  </si>
  <si>
    <t>SHAMIMA</t>
  </si>
  <si>
    <t>SAM / DR</t>
  </si>
  <si>
    <t>SHED / MISTRI</t>
  </si>
  <si>
    <t>ZD</t>
  </si>
  <si>
    <t>NIZAM</t>
  </si>
  <si>
    <t xml:space="preserve"> GATE</t>
  </si>
  <si>
    <t>NAUSHAD ALAM</t>
  </si>
  <si>
    <t>KANIZ</t>
  </si>
  <si>
    <t>ZOE</t>
  </si>
  <si>
    <t>SAM/TEST</t>
  </si>
  <si>
    <t xml:space="preserve">TIN </t>
  </si>
  <si>
    <t>SD</t>
  </si>
  <si>
    <t>SHAFIQUE</t>
  </si>
  <si>
    <t>SK BHALLU</t>
  </si>
  <si>
    <t>SULTANA</t>
  </si>
  <si>
    <t>ZARA</t>
  </si>
  <si>
    <t>SAM /  MED</t>
  </si>
  <si>
    <t>KD</t>
  </si>
  <si>
    <t>SULTAN</t>
  </si>
  <si>
    <t>MASJID</t>
  </si>
  <si>
    <t>AT</t>
  </si>
  <si>
    <t>NAZIR</t>
  </si>
  <si>
    <t xml:space="preserve"> BARI</t>
  </si>
  <si>
    <t>JAVED</t>
  </si>
  <si>
    <t>PETROL / KAMAL</t>
  </si>
  <si>
    <t>ZYED</t>
  </si>
  <si>
    <t>PETROL / NIZAM</t>
  </si>
  <si>
    <t>OTHERS</t>
  </si>
  <si>
    <t>ISHRAQUE</t>
  </si>
  <si>
    <t>MERAB</t>
  </si>
  <si>
    <t xml:space="preserve"> MASJID</t>
  </si>
  <si>
    <t>ENAYATULLA</t>
  </si>
  <si>
    <t>RASHEED</t>
  </si>
  <si>
    <t>MUNNA</t>
  </si>
  <si>
    <t>RAFIQUE</t>
  </si>
  <si>
    <t xml:space="preserve">SURAJ </t>
  </si>
  <si>
    <t>SECURITY</t>
  </si>
  <si>
    <t>SAM</t>
  </si>
  <si>
    <t>RESD</t>
  </si>
  <si>
    <t>SAM 2</t>
  </si>
  <si>
    <t>ZOE/ZARA</t>
  </si>
  <si>
    <t>EC</t>
  </si>
  <si>
    <t>NARAYAN</t>
  </si>
  <si>
    <t>BAWA</t>
  </si>
  <si>
    <t>RATE</t>
  </si>
  <si>
    <t>TRSP</t>
  </si>
  <si>
    <t>ATTA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</si>
  <si>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</si>
  <si>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</si>
  <si>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</si>
  <si>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</si>
  <si>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</si>
  <si>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</si>
  <si>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</si>
  <si>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</si>
  <si>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</si>
  <si>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</si>
  <si>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</si>
  <si>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</si>
  <si>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</si>
  <si>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</si>
  <si>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</si>
  <si>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</si>
  <si>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</si>
  <si>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</si>
  <si>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</si>
  <si>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</si>
  <si>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</si>
  <si>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</si>
  <si>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</si>
  <si>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</si>
  <si>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</si>
  <si>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</si>
  <si>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</si>
  <si>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</si>
  <si>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</si>
  <si>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</si>
  <si>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</si>
  <si>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</si>
  <si>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</si>
  <si>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</si>
  <si>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</si>
  <si>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</si>
  <si>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</si>
  <si>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</si>
  <si>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</si>
  <si>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</si>
  <si>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</si>
  <si>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</si>
  <si>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</si>
  <si>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</si>
  <si>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</si>
  <si>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</si>
  <si>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</si>
  <si>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</si>
  <si>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FOR THE MONTH</t>
  </si>
  <si>
    <t>PAID AMOUNT</t>
  </si>
  <si>
    <t>12PM</t>
  </si>
  <si>
    <t>JULY</t>
  </si>
  <si>
    <t>ANAS</t>
  </si>
  <si>
    <t>PAID</t>
  </si>
  <si>
    <t>BECHALI</t>
  </si>
  <si>
    <t>ADINUL</t>
  </si>
  <si>
    <t>APPLE</t>
  </si>
  <si>
    <t>POMEGRANATE</t>
  </si>
  <si>
    <t>GUAVA</t>
  </si>
  <si>
    <t>9PC</t>
  </si>
  <si>
    <t>BANANA</t>
  </si>
  <si>
    <t>12PC</t>
  </si>
  <si>
    <t>GROUP 10</t>
  </si>
  <si>
    <t>DATES/KALMI</t>
  </si>
  <si>
    <t>ALMOND</t>
  </si>
  <si>
    <t>KAJU</t>
  </si>
  <si>
    <t>OTHER EXPENSE</t>
  </si>
  <si>
    <t>GROUP 11</t>
  </si>
  <si>
    <t>PEN</t>
  </si>
  <si>
    <t>LOCATION</t>
  </si>
  <si>
    <t>SHED</t>
  </si>
  <si>
    <t>TOTAL AMOUNT</t>
  </si>
  <si>
    <t>TOTAL PAID</t>
  </si>
  <si>
    <t>GROUP DUE</t>
  </si>
  <si>
    <t>LAST PAID</t>
  </si>
  <si>
    <t>GROUP / FOR</t>
  </si>
  <si>
    <t>ITEM NAME</t>
  </si>
  <si>
    <t>QTY (KG)</t>
  </si>
  <si>
    <t>QTY (PCS)</t>
  </si>
  <si>
    <t>BEEF</t>
  </si>
  <si>
    <t>CHANA DAAL</t>
  </si>
  <si>
    <t>CHICKEN BONELESS</t>
  </si>
  <si>
    <t>CHICKEN</t>
  </si>
  <si>
    <t>SELECT DATE:</t>
  </si>
  <si>
    <t>TYPE</t>
  </si>
  <si>
    <t>PARVEZ</t>
  </si>
  <si>
    <t>AKHTAR</t>
  </si>
  <si>
    <t>SHAHNAWAZ/108033</t>
  </si>
  <si>
    <t>LABOUR/URP</t>
  </si>
  <si>
    <t>WEEKLY</t>
  </si>
  <si>
    <t>MONTH</t>
  </si>
  <si>
    <t>JULY_2026</t>
  </si>
  <si>
    <t>CURRENT MONTH</t>
  </si>
  <si>
    <t>INDIVIDUAL PAID</t>
  </si>
  <si>
    <t>AUGUST</t>
  </si>
  <si>
    <t>AVAILABLE BALANCE</t>
  </si>
  <si>
    <t>DUE AMOUNT</t>
  </si>
  <si>
    <t>TOTAL</t>
  </si>
  <si>
    <t>TOTAL RENT COLLECTED</t>
  </si>
  <si>
    <t>FUEL/GAS</t>
  </si>
  <si>
    <t>CESC+RAJA+OTHERS</t>
  </si>
  <si>
    <t>2PM</t>
  </si>
  <si>
    <t>3:30PM</t>
  </si>
  <si>
    <t>BOTTLES</t>
  </si>
  <si>
    <t>SABBIR/PANDUA</t>
  </si>
  <si>
    <t>TYRE REPAIR</t>
  </si>
  <si>
    <t>8:45PM</t>
  </si>
  <si>
    <t>TOTAL PURCHASES</t>
  </si>
  <si>
    <t>8PM</t>
  </si>
  <si>
    <t>2:30PM</t>
  </si>
  <si>
    <t>8:00PM</t>
  </si>
  <si>
    <t>HAKIM SAHEB</t>
  </si>
  <si>
    <t>LADDU+VEGGIE JOGDIYA</t>
  </si>
  <si>
    <t>VEGGIE JOGDIYA</t>
  </si>
  <si>
    <t>ADV</t>
  </si>
  <si>
    <t>TSP/BUTADINE/REHAN/PENCIL/RUBBER/MURI/BADAM</t>
  </si>
  <si>
    <t>MAULANA TALHA</t>
  </si>
  <si>
    <t>SEPTEMBER</t>
  </si>
  <si>
    <t>WEEK 1</t>
  </si>
  <si>
    <t>WEEK 2</t>
  </si>
  <si>
    <t>WEEK 3</t>
  </si>
  <si>
    <t>WEEK 4</t>
  </si>
  <si>
    <t>10:00PM</t>
  </si>
  <si>
    <t>9:00PM</t>
  </si>
  <si>
    <t>SHAHNAWAZ</t>
  </si>
  <si>
    <t>MEHRAB/OLD HISAAB CLEARED</t>
  </si>
  <si>
    <t>ALOO/SHABBIR</t>
  </si>
  <si>
    <t>8:30pm</t>
  </si>
  <si>
    <t>9:30PM</t>
  </si>
  <si>
    <t>ESI</t>
  </si>
  <si>
    <t>MEHRAB/DAAB/VEG/BIR</t>
  </si>
  <si>
    <t>3.30PM</t>
  </si>
  <si>
    <t>8.30PM</t>
  </si>
  <si>
    <t>8.00PM</t>
  </si>
  <si>
    <t>BLOOD TEST SULTAN</t>
  </si>
  <si>
    <t>ZAHID SHIPUR</t>
  </si>
  <si>
    <t>9.30PM</t>
  </si>
  <si>
    <t>WEEK 5</t>
  </si>
  <si>
    <t>AUGUST_2026</t>
  </si>
  <si>
    <t>-</t>
  </si>
  <si>
    <t>7.45PM</t>
  </si>
  <si>
    <t>12.30PM</t>
  </si>
  <si>
    <t>PAID STATUS</t>
  </si>
  <si>
    <t>TOMATO</t>
  </si>
  <si>
    <t>BADHA GOBI</t>
  </si>
  <si>
    <t>BANGON</t>
  </si>
  <si>
    <t>BARBATI</t>
  </si>
  <si>
    <t>CHIMMI</t>
  </si>
  <si>
    <t>DATTA</t>
  </si>
  <si>
    <t>FOOL GOBI</t>
  </si>
  <si>
    <t>POTOL</t>
  </si>
  <si>
    <t>SIM</t>
  </si>
  <si>
    <t>VINDI</t>
  </si>
  <si>
    <t>ZINGHI</t>
  </si>
  <si>
    <t>SUGAR</t>
  </si>
  <si>
    <t>DALCHINI</t>
  </si>
  <si>
    <t>ELIACHI</t>
  </si>
  <si>
    <t>LONG</t>
  </si>
  <si>
    <t>GRAPES</t>
  </si>
  <si>
    <t>MANGO</t>
  </si>
  <si>
    <t>MUSUMBI</t>
  </si>
  <si>
    <t>ORANGE</t>
  </si>
  <si>
    <t>PINEAPPLE</t>
  </si>
  <si>
    <t>WATER MELON</t>
  </si>
  <si>
    <t>BADAM</t>
  </si>
  <si>
    <t>KISMIS</t>
  </si>
  <si>
    <t>BETTEL</t>
  </si>
  <si>
    <t>COAL</t>
  </si>
  <si>
    <t>DUB</t>
  </si>
  <si>
    <t>HONEY</t>
  </si>
  <si>
    <t>PAAN</t>
  </si>
  <si>
    <t>TEA</t>
  </si>
  <si>
    <t>Row Labels</t>
  </si>
  <si>
    <t>Sum of TOTAL AMOUNT</t>
  </si>
  <si>
    <t>&lt;8/5/2026</t>
  </si>
  <si>
    <t>Aug</t>
  </si>
  <si>
    <t>Sep</t>
  </si>
  <si>
    <t>GROUP 2</t>
  </si>
  <si>
    <t>PAID TO</t>
  </si>
  <si>
    <t>DESCRIPTION</t>
  </si>
  <si>
    <t>3:00PM</t>
  </si>
  <si>
    <t>CHOKHAR</t>
  </si>
  <si>
    <t>DAB</t>
  </si>
  <si>
    <t>KUDDUS</t>
  </si>
  <si>
    <t>MEHRAB</t>
  </si>
  <si>
    <t xml:space="preserve">ANAR BREAD GLASS BADNA </t>
  </si>
  <si>
    <t>ISHRAQ</t>
  </si>
  <si>
    <t>12pm</t>
  </si>
  <si>
    <t>5PM</t>
  </si>
  <si>
    <t>INCOMING</t>
  </si>
  <si>
    <t>OUTGOING</t>
  </si>
  <si>
    <t>RECEIVE FROM</t>
  </si>
  <si>
    <t>APR/MAY/JUN</t>
  </si>
  <si>
    <t>CLEAR UPTO JUNE</t>
  </si>
  <si>
    <t>RECEIVED</t>
  </si>
  <si>
    <t>GRAND TOTAL</t>
  </si>
  <si>
    <t>STATUS</t>
  </si>
  <si>
    <t>8.30pm</t>
  </si>
  <si>
    <t>5.00PM</t>
  </si>
  <si>
    <t>LAST PAYMENT DATE</t>
  </si>
  <si>
    <t>1:00PM</t>
  </si>
  <si>
    <t>2:00PM</t>
  </si>
  <si>
    <t>7:00PM</t>
  </si>
  <si>
    <t>GRP 1 Total</t>
  </si>
  <si>
    <t>GRP 2 Total</t>
  </si>
  <si>
    <t>GRP 3 Total</t>
  </si>
  <si>
    <t>GRP 4 Total</t>
  </si>
  <si>
    <t>PASHA</t>
  </si>
  <si>
    <t>HAKIM SAHEB (TAJ)</t>
  </si>
  <si>
    <t>ANAR/BREAD</t>
  </si>
  <si>
    <t>ANAR/GLASS</t>
  </si>
  <si>
    <t>KUDUS DEPARTMENT REPAIR</t>
  </si>
  <si>
    <t>HISAAB CLEAR</t>
  </si>
  <si>
    <t>TAN REPAIR</t>
  </si>
  <si>
    <t>DAAB</t>
  </si>
  <si>
    <t>MUNNA /BASHA</t>
  </si>
  <si>
    <t>GATE REPAIR</t>
  </si>
  <si>
    <t>FISH AND EGG</t>
  </si>
  <si>
    <t>BATHROOM REPAIR</t>
  </si>
  <si>
    <t>TIN ALBESTER SHIFTING</t>
  </si>
  <si>
    <t>BOOK TO DEOBAND</t>
  </si>
  <si>
    <t>PETROL / MEHRAB</t>
  </si>
  <si>
    <t>TAN CESC</t>
  </si>
  <si>
    <t>HAMZA</t>
  </si>
  <si>
    <t>FSSAI LICENCSE</t>
  </si>
  <si>
    <t>FINANCIAL SUMMARY &amp; EXECUTIVE CASH FLOW POSITION</t>
  </si>
  <si>
    <t>TOTAL INFLOW</t>
  </si>
  <si>
    <t>SUPPLY EXPENSES</t>
  </si>
  <si>
    <t>DISBURSED SALARIES</t>
  </si>
  <si>
    <t>MISC AMOUNT PAID</t>
  </si>
  <si>
    <t>OUTGOING MISC</t>
  </si>
  <si>
    <t>PENDING PAYABLES</t>
  </si>
  <si>
    <t>NET LIQUIDITY</t>
  </si>
  <si>
    <t>INDIVIDUAL DUE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</si>
</sst>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yy"/>
    <numFmt numFmtId="165" formatCode="dd\-mmm\-yyyy"/>
  </numFmts>
  <fonts count="23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2"/>
      <color rgb="FFFFFFFF"/>
      <name val="Segoe UI"/>
      <family val="2"/>
    </font>
    <font>
      <b/>
      <sz val="10"/>
      <color rgb="FFFFFFFF"/>
      <name val="Segoe UI"/>
      <family val="2"/>
    </font>
    <font>
      <b/>
      <sz val="15"/>
      <color rgb="FF0F172A"/>
      <name val="Segoe UI"/>
      <family val="2"/>
    </font>
    <font>
      <b/>
      <sz val="8"/>
      <color rgb="FF64748B"/>
      <name val="Segoe UI"/>
      <family val="2"/>
    </font>
    <font>
      <b/>
      <sz val="15"/>
      <color rgb="FFB91C1C"/>
      <name val="Segoe UI"/>
      <family val="2"/>
    </font>
    <font>
      <b/>
      <sz val="15"/>
      <color rgb="FFB45309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A3DB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1565C0"/>
        <bgColor indexed="64"/>
      </patternFill>
    </fill>
    <fill>
      <patternFill patternType="solid">
        <fgColor rgb="FFC62828"/>
        <bgColor indexed="64"/>
      </patternFill>
    </fill>
    <fill>
      <patternFill patternType="solid">
        <fgColor rgb="FF0F172A"/>
        <bgColor indexed="64"/>
      </patternFill>
    </fill>
    <fill>
      <patternFill patternType="solid">
        <fgColor rgb="FF1E3A8A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47556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B91C1C"/>
        <bgColor indexed="64"/>
      </patternFill>
    </fill>
    <fill>
      <patternFill patternType="solid">
        <fgColor rgb="FFB45309"/>
        <bgColor indexed="64"/>
      </patternFill>
    </fill>
    <fill>
      <patternFill patternType="solid">
        <fgColor rgb="FF166534"/>
        <bgColor indexed="64"/>
      </patternFill>
    </fill>
  </fills>
  <borders count="13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rgb="FFCBD5E1"/>
      </left>
      <right style="hair">
        <color rgb="FFCBD5E1"/>
      </right>
      <top style="hair">
        <color rgb="FFCBD5E1"/>
      </top>
      <bottom style="hair">
        <color rgb="FFCBD5E1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1" fillId="3" borderId="0" xfId="0" applyFont="1" applyFill="1"/>
    <xf numFmtId="0" fontId="0" fillId="3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/>
    <xf numFmtId="0" fontId="5" fillId="3" borderId="0" xfId="0" applyFont="1" applyFill="1"/>
    <xf numFmtId="0" fontId="6" fillId="9" borderId="1" xfId="0" applyFont="1" applyFill="1" applyBorder="1" applyAlignment="1">
      <alignment horizontal="center" vertical="center"/>
    </xf>
    <xf numFmtId="0" fontId="0" fillId="10" borderId="1" xfId="0" applyFill="1" applyBorder="1"/>
    <xf numFmtId="0" fontId="0" fillId="0" borderId="1" xfId="0" applyBorder="1"/>
    <xf numFmtId="3" fontId="0" fillId="0" borderId="0" xfId="0" applyNumberFormat="1"/>
    <xf numFmtId="0" fontId="7" fillId="0" borderId="0" xfId="0" applyFont="1" applyAlignment="1">
      <alignment horizontal="right"/>
    </xf>
    <xf numFmtId="0" fontId="2" fillId="0" borderId="0" xfId="0" applyFont="1"/>
    <xf numFmtId="0" fontId="0" fillId="4" borderId="3" xfId="0" applyFill="1" applyBorder="1"/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3" xfId="0" applyBorder="1"/>
    <xf numFmtId="14" fontId="0" fillId="0" borderId="3" xfId="0" applyNumberFormat="1" applyBorder="1"/>
    <xf numFmtId="0" fontId="3" fillId="0" borderId="3" xfId="0" applyFont="1" applyBorder="1"/>
    <xf numFmtId="0" fontId="0" fillId="8" borderId="3" xfId="0" applyFill="1" applyBorder="1"/>
    <xf numFmtId="0" fontId="0" fillId="2" borderId="3" xfId="0" applyFill="1" applyBorder="1"/>
    <xf numFmtId="0" fontId="8" fillId="0" borderId="3" xfId="0" applyFont="1" applyBorder="1"/>
    <xf numFmtId="0" fontId="0" fillId="7" borderId="3" xfId="0" applyFill="1" applyBorder="1"/>
    <xf numFmtId="0" fontId="0" fillId="5" borderId="3" xfId="0" applyFill="1" applyBorder="1"/>
    <xf numFmtId="0" fontId="0" fillId="6" borderId="3" xfId="0" applyFill="1" applyBorder="1"/>
    <xf numFmtId="16" fontId="0" fillId="0" borderId="3" xfId="0" applyNumberFormat="1" applyBorder="1" applyAlignment="1">
      <alignment horizontal="center"/>
    </xf>
    <xf numFmtId="0" fontId="4" fillId="0" borderId="3" xfId="0" applyFont="1" applyBorder="1"/>
    <xf numFmtId="0" fontId="6" fillId="12" borderId="4" xfId="0" applyFont="1" applyFill="1" applyBorder="1" applyAlignment="1">
      <alignment horizontal="center" vertical="center"/>
    </xf>
    <xf numFmtId="0" fontId="9" fillId="13" borderId="4" xfId="0" applyFont="1" applyFill="1" applyBorder="1" applyAlignment="1">
      <alignment vertical="center"/>
    </xf>
    <xf numFmtId="0" fontId="6" fillId="12" borderId="0" xfId="0" applyFont="1" applyFill="1" applyAlignment="1">
      <alignment horizontal="center"/>
    </xf>
    <xf numFmtId="0" fontId="6" fillId="12" borderId="0" xfId="0" applyFont="1" applyFill="1"/>
    <xf numFmtId="0" fontId="6" fillId="9" borderId="0" xfId="0" applyFont="1" applyFill="1" applyAlignment="1">
      <alignment horizontal="center"/>
    </xf>
    <xf numFmtId="3" fontId="2" fillId="0" borderId="0" xfId="0" applyNumberFormat="1" applyFont="1" applyAlignment="1">
      <alignment horizontal="center"/>
    </xf>
    <xf numFmtId="3" fontId="10" fillId="0" borderId="0" xfId="0" applyNumberFormat="1" applyFont="1" applyAlignment="1">
      <alignment horizontal="center"/>
    </xf>
    <xf numFmtId="0" fontId="8" fillId="14" borderId="5" xfId="0" applyFont="1" applyFill="1" applyBorder="1"/>
    <xf numFmtId="0" fontId="8" fillId="14" borderId="6" xfId="0" applyFont="1" applyFill="1" applyBorder="1"/>
    <xf numFmtId="0" fontId="8" fillId="14" borderId="7" xfId="0" applyFont="1" applyFill="1" applyBorder="1"/>
    <xf numFmtId="164" fontId="0" fillId="0" borderId="0" xfId="0" applyNumberFormat="1"/>
    <xf numFmtId="164" fontId="7" fillId="11" borderId="2" xfId="0" applyNumberFormat="1" applyFont="1" applyFill="1" applyBorder="1"/>
    <xf numFmtId="164" fontId="0" fillId="0" borderId="8" xfId="0" applyNumberFormat="1" applyBorder="1"/>
    <xf numFmtId="0" fontId="0" fillId="0" borderId="8" xfId="0" applyBorder="1"/>
    <xf numFmtId="164" fontId="0" fillId="0" borderId="9" xfId="0" applyNumberFormat="1" applyBorder="1"/>
    <xf numFmtId="0" fontId="0" fillId="0" borderId="9" xfId="0" applyBorder="1"/>
    <xf numFmtId="164" fontId="0" fillId="0" borderId="10" xfId="0" applyNumberFormat="1" applyBorder="1"/>
    <xf numFmtId="0" fontId="0" fillId="0" borderId="10" xfId="0" applyBorder="1"/>
    <xf numFmtId="0" fontId="0" fillId="2" borderId="0" xfId="0" applyFill="1"/>
    <xf numFmtId="0" fontId="12" fillId="2" borderId="0" xfId="0" applyFont="1" applyFill="1"/>
    <xf numFmtId="165" fontId="0" fillId="10" borderId="1" xfId="0" applyNumberFormat="1" applyFill="1" applyBorder="1"/>
    <xf numFmtId="0" fontId="0" fillId="15" borderId="0" xfId="0" applyFill="1"/>
    <xf numFmtId="0" fontId="0" fillId="15" borderId="3" xfId="0" applyFill="1" applyBorder="1"/>
    <xf numFmtId="0" fontId="0" fillId="16" borderId="3" xfId="0" applyFill="1" applyBorder="1"/>
    <xf numFmtId="0" fontId="8" fillId="14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2" fillId="0" borderId="1" xfId="0" applyFont="1" applyBorder="1"/>
    <xf numFmtId="0" fontId="0" fillId="0" borderId="2" xfId="0" applyBorder="1"/>
    <xf numFmtId="0" fontId="6" fillId="17" borderId="2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165" fontId="6" fillId="17" borderId="2" xfId="0" applyNumberFormat="1" applyFont="1" applyFill="1" applyBorder="1" applyAlignment="1">
      <alignment horizontal="center"/>
    </xf>
    <xf numFmtId="165" fontId="0" fillId="0" borderId="2" xfId="0" applyNumberFormat="1" applyBorder="1"/>
    <xf numFmtId="165" fontId="6" fillId="18" borderId="2" xfId="0" applyNumberFormat="1" applyFont="1" applyFill="1" applyBorder="1" applyAlignment="1">
      <alignment horizontal="center"/>
    </xf>
    <xf numFmtId="3" fontId="6" fillId="17" borderId="2" xfId="0" applyNumberFormat="1" applyFont="1" applyFill="1" applyBorder="1" applyAlignment="1">
      <alignment horizontal="center"/>
    </xf>
    <xf numFmtId="3" fontId="0" fillId="0" borderId="2" xfId="0" applyNumberFormat="1" applyBorder="1"/>
    <xf numFmtId="3" fontId="6" fillId="18" borderId="2" xfId="0" applyNumberFormat="1" applyFont="1" applyFill="1" applyBorder="1" applyAlignment="1">
      <alignment horizontal="center"/>
    </xf>
    <xf numFmtId="165" fontId="0" fillId="0" borderId="1" xfId="0" applyNumberFormat="1" applyBorder="1"/>
    <xf numFmtId="0" fontId="14" fillId="13" borderId="0" xfId="0" applyFont="1" applyFill="1" applyAlignment="1">
      <alignment horizontal="center"/>
    </xf>
    <xf numFmtId="0" fontId="13" fillId="0" borderId="0" xfId="0" applyFont="1"/>
    <xf numFmtId="0" fontId="2" fillId="3" borderId="0" xfId="0" applyFont="1" applyFill="1"/>
    <xf numFmtId="165" fontId="2" fillId="19" borderId="0" xfId="0" applyNumberFormat="1" applyFont="1" applyFill="1"/>
    <xf numFmtId="165" fontId="2" fillId="19" borderId="0" xfId="0" applyNumberFormat="1" applyFont="1" applyFill="1" applyAlignment="1">
      <alignment horizontal="center"/>
    </xf>
    <xf numFmtId="0" fontId="2" fillId="19" borderId="0" xfId="0" applyFont="1" applyFill="1"/>
    <xf numFmtId="3" fontId="15" fillId="19" borderId="0" xfId="0" applyNumberFormat="1" applyFont="1" applyFill="1"/>
    <xf numFmtId="0" fontId="2" fillId="19" borderId="0" xfId="0" applyFont="1" applyFill="1" applyAlignment="1">
      <alignment horizontal="center"/>
    </xf>
    <xf numFmtId="3" fontId="4" fillId="0" borderId="0" xfId="0" applyNumberFormat="1" applyFont="1"/>
    <xf numFmtId="165" fontId="0" fillId="0" borderId="0" xfId="0" applyNumberFormat="1" applyAlignment="1">
      <alignment horizontal="center"/>
    </xf>
    <xf numFmtId="0" fontId="9" fillId="13" borderId="4" xfId="0" applyFont="1" applyFill="1" applyBorder="1" applyAlignment="1">
      <alignment horizontal="center" vertical="center"/>
    </xf>
    <xf numFmtId="3" fontId="16" fillId="20" borderId="1" xfId="0" applyNumberFormat="1" applyFont="1" applyFill="1" applyBorder="1"/>
    <xf numFmtId="3" fontId="16" fillId="21" borderId="1" xfId="0" applyNumberFormat="1" applyFont="1" applyFill="1" applyBorder="1"/>
    <xf numFmtId="3" fontId="16" fillId="22" borderId="1" xfId="0" applyNumberFormat="1" applyFont="1" applyFill="1" applyBorder="1"/>
    <xf numFmtId="0" fontId="13" fillId="18" borderId="3" xfId="0" applyFont="1" applyFill="1" applyBorder="1"/>
    <xf numFmtId="0" fontId="0" fillId="0" borderId="11" xfId="0" applyBorder="1"/>
    <xf numFmtId="0" fontId="9" fillId="13" borderId="4" xfId="0" applyFont="1" applyFill="1" applyBorder="1" applyAlignment="1">
      <alignment horizontal="center" vertical="center"/>
    </xf>
    <xf numFmtId="0" fontId="17" fillId="23" borderId="0" xfId="0" applyFont="1" applyFill="1" applyAlignment="1">
      <alignment horizontal="center" vertical="center"/>
    </xf>
    <xf numFmtId="0" fontId="18" fillId="24" borderId="12" xfId="0" applyFont="1" applyFill="1" applyBorder="1" applyAlignment="1">
      <alignment horizontal="center" vertical="center"/>
    </xf>
    <xf numFmtId="3" fontId="19" fillId="25" borderId="12" xfId="0" applyNumberFormat="1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18" fillId="26" borderId="12" xfId="0" applyFont="1" applyFill="1" applyBorder="1" applyAlignment="1">
      <alignment horizontal="center" vertical="center"/>
    </xf>
    <xf numFmtId="0" fontId="18" fillId="27" borderId="12" xfId="0" applyFont="1" applyFill="1" applyBorder="1" applyAlignment="1">
      <alignment horizontal="center" vertical="center"/>
    </xf>
    <xf numFmtId="0" fontId="18" fillId="28" borderId="12" xfId="0" applyFont="1" applyFill="1" applyBorder="1" applyAlignment="1">
      <alignment horizontal="center" vertical="center"/>
    </xf>
    <xf numFmtId="3" fontId="21" fillId="25" borderId="12" xfId="0" applyNumberFormat="1" applyFont="1" applyFill="1" applyBorder="1" applyAlignment="1">
      <alignment horizontal="center" vertical="center"/>
    </xf>
    <xf numFmtId="0" fontId="18" fillId="29" borderId="12" xfId="0" applyFont="1" applyFill="1" applyBorder="1" applyAlignment="1">
      <alignment horizontal="center" vertical="center"/>
    </xf>
    <xf numFmtId="3" fontId="22" fillId="25" borderId="12" xfId="0" applyNumberFormat="1" applyFont="1" applyFill="1" applyBorder="1" applyAlignment="1">
      <alignment horizontal="center" vertical="center"/>
    </xf>
    <xf numFmtId="0" fontId="18" fillId="30" borderId="12" xfId="0" applyFont="1" applyFill="1" applyBorder="1" applyAlignment="1">
      <alignment horizontal="center" vertical="center"/>
    </xf>
    <xf numFmtId="3" fontId="4" fillId="0" borderId="0" xfId="0" applyNumberFormat="1" applyFont="1" applyFill="1"/>
    <xf numFmtId="3" fontId="4" fillId="0" borderId="1" xfId="0" applyNumberFormat="1" applyFont="1" applyFill="1" applyBorder="1"/>
  </cellXfs>
  <cellStyles count="1">
    <cellStyle name="Normal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3" formatCode="#,##0"/>
    </dxf>
    <dxf>
      <numFmt numFmtId="165" formatCode="dd\-mmm\-yyyy"/>
    </dxf>
    <dxf>
      <numFmt numFmtId="164" formatCode="d\ mmm\ yyyy"/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87FFA5"/>
      <color rgb="FF3FF8FF"/>
      <color rgb="FFFFF99D"/>
      <color rgb="FFCFCFFF"/>
      <color rgb="FFFF5050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29</xdr:row>
      <xdr:rowOff>114300</xdr:rowOff>
    </xdr:from>
    <xdr:to>
      <xdr:col>12</xdr:col>
      <xdr:colOff>895350</xdr:colOff>
      <xdr:row>31</xdr:row>
      <xdr:rowOff>85725</xdr:rowOff>
    </xdr:to>
    <xdr:sp macro="[0]!LoadRen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90AD815-345C-418B-9CA7-FBCCAB445F4E}"/>
            </a:ext>
          </a:extLst>
        </xdr:cNvPr>
        <xdr:cNvSpPr/>
      </xdr:nvSpPr>
      <xdr:spPr>
        <a:xfrm>
          <a:off x="12982575" y="5810250"/>
          <a:ext cx="1809750" cy="5429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70C0"/>
              </a:solidFill>
              <a:latin typeface="Bauhaus 93" panose="04030905020B02020C02" pitchFamily="82" charset="0"/>
            </a:rPr>
            <a:t>LOAD RENT DATA</a:t>
          </a:r>
          <a:endParaRPr lang="x-none" sz="1600">
            <a:solidFill>
              <a:srgbClr val="0070C0"/>
            </a:solidFill>
            <a:latin typeface="Bauhaus 93" panose="04030905020B02020C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613922</xdr:colOff>
      <xdr:row>29</xdr:row>
      <xdr:rowOff>32017</xdr:rowOff>
    </xdr:from>
    <xdr:to>
      <xdr:col>13</xdr:col>
      <xdr:colOff>312964</xdr:colOff>
      <xdr:row>32</xdr:row>
      <xdr:rowOff>20811</xdr:rowOff>
    </xdr:to>
    <xdr:sp macro="[0]!SaveExpendi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6DF74C-77D5-BBE7-579D-6D398668356A}"/>
            </a:ext>
          </a:extLst>
        </xdr:cNvPr>
        <xdr:cNvSpPr/>
      </xdr:nvSpPr>
      <xdr:spPr>
        <a:xfrm>
          <a:off x="14343529" y="5039446"/>
          <a:ext cx="1848971" cy="560294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latin typeface="Bauhaus 93" panose="04030905020B02020C02" pitchFamily="82" charset="0"/>
            </a:rPr>
            <a:t>SAVE DATA</a:t>
          </a:r>
          <a:endParaRPr lang="x-none" sz="2400">
            <a:latin typeface="Bauhaus 93" panose="04030905020B02020C02" pitchFamily="82" charset="0"/>
          </a:endParaRPr>
        </a:p>
      </xdr:txBody>
    </xdr:sp>
    <xdr:clientData/>
  </xdr:twoCellAnchor>
  <xdr:twoCellAnchor>
    <xdr:from>
      <xdr:col>13</xdr:col>
      <xdr:colOff>559494</xdr:colOff>
      <xdr:row>29</xdr:row>
      <xdr:rowOff>29616</xdr:rowOff>
    </xdr:from>
    <xdr:to>
      <xdr:col>16</xdr:col>
      <xdr:colOff>63233</xdr:colOff>
      <xdr:row>31</xdr:row>
      <xdr:rowOff>186498</xdr:rowOff>
    </xdr:to>
    <xdr:sp macro="[0]!LoadExpenditur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DBC763-CA08-42F3-8CCD-2784421234C0}"/>
            </a:ext>
          </a:extLst>
        </xdr:cNvPr>
        <xdr:cNvSpPr/>
      </xdr:nvSpPr>
      <xdr:spPr>
        <a:xfrm>
          <a:off x="16439030" y="5037045"/>
          <a:ext cx="1898596" cy="53788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solidFill>
                <a:schemeClr val="bg1"/>
              </a:solidFill>
              <a:latin typeface="Bauhaus 93" panose="04030905020B02020C02" pitchFamily="82" charset="0"/>
            </a:rPr>
            <a:t>LOAD DATA	</a:t>
          </a:r>
          <a:endParaRPr lang="x-none" sz="2400">
            <a:solidFill>
              <a:schemeClr val="bg1"/>
            </a:solidFill>
            <a:latin typeface="Bauhaus 93" panose="04030905020B02020C02" pitchFamily="82" charset="0"/>
          </a:endParaRPr>
        </a:p>
      </xdr:txBody>
    </xdr:sp>
    <xdr:clientData/>
  </xdr:twoCellAnchor>
  <xdr:twoCellAnchor>
    <xdr:from>
      <xdr:col>16</xdr:col>
      <xdr:colOff>428226</xdr:colOff>
      <xdr:row>29</xdr:row>
      <xdr:rowOff>45625</xdr:rowOff>
    </xdr:from>
    <xdr:to>
      <xdr:col>19</xdr:col>
      <xdr:colOff>114460</xdr:colOff>
      <xdr:row>31</xdr:row>
      <xdr:rowOff>180095</xdr:rowOff>
    </xdr:to>
    <xdr:sp macro="[0]!StartNewMon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4CDD7B2-A319-4888-93E2-BC5B1FE248AC}"/>
            </a:ext>
          </a:extLst>
        </xdr:cNvPr>
        <xdr:cNvSpPr/>
      </xdr:nvSpPr>
      <xdr:spPr>
        <a:xfrm>
          <a:off x="18702619" y="5053054"/>
          <a:ext cx="2189948" cy="51547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latin typeface="Bauhaus 93" panose="04030905020B02020C02" pitchFamily="82" charset="0"/>
            </a:rPr>
            <a:t>START NEW MONTH</a:t>
          </a:r>
          <a:endParaRPr lang="x-none" sz="1800">
            <a:latin typeface="Bauhaus 93" panose="04030905020B02020C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1285875</xdr:colOff>
      <xdr:row>1</xdr:row>
      <xdr:rowOff>254000</xdr:rowOff>
    </xdr:to>
    <xdr:sp macro="SaveDailyPurchases" textlink="">
      <xdr:nvSpPr>
        <xdr:cNvPr id="2" name="Rectangle 1">
          <a:extLst>
            <a:ext uri="{FF2B5EF4-FFF2-40B4-BE49-F238E27FC236}">
              <a16:creationId xmlns:a16="http://schemas.microsoft.com/office/drawing/2014/main" id="{87B9C7ED-4DF4-FC5A-7D77-0EEC7BD4FE20}"/>
            </a:ext>
          </a:extLst>
        </xdr:cNvPr>
        <xdr:cNvSpPr/>
      </xdr:nvSpPr>
      <xdr:spPr>
        <a:xfrm>
          <a:off x="127000" y="127000"/>
          <a:ext cx="2540000" cy="5080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x-none" sz="1400" b="1">
              <a:solidFill>
                <a:srgbClr val="FFFFFF"/>
              </a:solidFill>
            </a:rPr>
            <a:t>💾 </a:t>
          </a:r>
          <a:r>
            <a:rPr lang="en-US" sz="1400" b="1">
              <a:solidFill>
                <a:srgbClr val="FFFFFF"/>
              </a:solidFill>
            </a:rPr>
            <a:t>SAVE TO LEDGER</a:t>
          </a:r>
          <a:endParaRPr lang="x-none" sz="1400" b="1">
            <a:solidFill>
              <a:srgbClr val="FFFFFF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ib ." refreshedDate="46271.929211689814" createdVersion="6" refreshedVersion="8" minRefreshableVersion="3" recordCount="87" xr:uid="{00000000-000A-0000-FFFF-FFFF01000000}">
  <cacheSource type="worksheet">
    <worksheetSource name="DailyPurchaseLedger"/>
  </cacheSource>
  <cacheFields count="9">
    <cacheField name="DATE" numFmtId="164">
      <sharedItems containsNonDate="0" containsDate="1" containsString="0" containsBlank="1" minDate="2026-08-05T00:00:00" maxDate="2026-09-03T00:00:00" count="16">
        <d v="2026-08-05T00:00:00"/>
        <d v="2026-08-06T00:00:00"/>
        <d v="2026-08-09T00:00:00"/>
        <d v="2026-08-11T00:00:00"/>
        <d v="2026-08-12T00:00:00"/>
        <d v="2026-08-13T00:00:00"/>
        <d v="2026-08-15T00:00:00"/>
        <d v="2026-08-17T00:00:00"/>
        <d v="2026-08-18T00:00:00"/>
        <d v="2026-08-20T00:00:00"/>
        <d v="2026-08-24T00:00:00"/>
        <d v="2026-08-25T00:00:00"/>
        <d v="2026-08-29T00:00:00"/>
        <d v="2026-08-31T00:00:00"/>
        <d v="2026-09-02T00:00:00"/>
        <m/>
      </sharedItems>
      <fieldGroup par="8"/>
    </cacheField>
    <cacheField name="GROUP / FOR" numFmtId="0">
      <sharedItems containsBlank="1"/>
    </cacheField>
    <cacheField name="ITEM NAME" numFmtId="0">
      <sharedItems containsBlank="1"/>
    </cacheField>
    <cacheField name="QTY (KG)" numFmtId="0">
      <sharedItems containsString="0" containsBlank="1" containsNumber="1" minValue="0.5" maxValue="50"/>
    </cacheField>
    <cacheField name="QTY (PCS)" numFmtId="0">
      <sharedItems containsBlank="1" containsMixedTypes="1" containsNumber="1" containsInteger="1" minValue="3" maxValue="60"/>
    </cacheField>
    <cacheField name="RATE" numFmtId="0">
      <sharedItems containsString="0" containsBlank="1" containsNumber="1" minValue="5" maxValue="900"/>
    </cacheField>
    <cacheField name="TRSP" numFmtId="0">
      <sharedItems containsString="0" containsBlank="1" containsNumber="1" containsInteger="1" minValue="60" maxValue="300"/>
    </cacheField>
    <cacheField name="TOTAL AMOUNT" numFmtId="0">
      <sharedItems containsString="0" containsBlank="1" containsNumber="1" containsInteger="1" minValue="45" maxValue="20000"/>
    </cacheField>
    <cacheField name="Months (DATE)" numFmtId="0" databaseField="0">
      <fieldGroup base="0">
        <rangePr groupBy="months" startDate="2026-08-05T00:00:00" endDate="2026-09-03T00:00:00"/>
        <groupItems count="14">
          <s v="&lt;8/5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s v="ATTA"/>
    <m/>
    <m/>
    <m/>
    <m/>
    <n v="110"/>
    <m/>
  </r>
  <r>
    <x v="0"/>
    <s v="GROUP 1"/>
    <s v="ALOO"/>
    <m/>
    <m/>
    <m/>
    <m/>
    <m/>
  </r>
  <r>
    <x v="0"/>
    <m/>
    <s v="PIYAAZ"/>
    <m/>
    <m/>
    <m/>
    <m/>
    <m/>
  </r>
  <r>
    <x v="0"/>
    <m/>
    <s v="ADRAK"/>
    <m/>
    <m/>
    <m/>
    <m/>
    <m/>
  </r>
  <r>
    <x v="0"/>
    <m/>
    <s v="LAHSUN"/>
    <m/>
    <m/>
    <m/>
    <m/>
    <m/>
  </r>
  <r>
    <x v="0"/>
    <s v="GROUP 2 "/>
    <s v="LIME"/>
    <m/>
    <m/>
    <m/>
    <m/>
    <m/>
  </r>
  <r>
    <x v="0"/>
    <m/>
    <s v="CARROT"/>
    <m/>
    <m/>
    <m/>
    <m/>
    <m/>
  </r>
  <r>
    <x v="0"/>
    <m/>
    <s v="GREEN CHILLI"/>
    <m/>
    <m/>
    <m/>
    <m/>
    <m/>
  </r>
  <r>
    <x v="0"/>
    <m/>
    <s v="MULI"/>
    <m/>
    <m/>
    <m/>
    <m/>
    <m/>
  </r>
  <r>
    <x v="0"/>
    <m/>
    <s v="KHEERA"/>
    <m/>
    <m/>
    <m/>
    <m/>
    <m/>
  </r>
  <r>
    <x v="0"/>
    <m/>
    <s v="BEET"/>
    <m/>
    <m/>
    <m/>
    <m/>
    <m/>
  </r>
  <r>
    <x v="0"/>
    <m/>
    <s v="CORRIANDER"/>
    <m/>
    <m/>
    <m/>
    <m/>
    <m/>
  </r>
  <r>
    <x v="0"/>
    <m/>
    <s v="CAPCICUM"/>
    <m/>
    <m/>
    <m/>
    <m/>
    <m/>
  </r>
  <r>
    <x v="0"/>
    <s v="GROUP 3"/>
    <s v="BEEF BONELESS"/>
    <n v="5"/>
    <m/>
    <n v="400"/>
    <m/>
    <n v="2000"/>
  </r>
  <r>
    <x v="0"/>
    <m/>
    <s v="BEEF "/>
    <n v="10"/>
    <m/>
    <n v="300"/>
    <m/>
    <n v="3000"/>
  </r>
  <r>
    <x v="0"/>
    <m/>
    <s v="CHICKEN BONELESS"/>
    <m/>
    <m/>
    <m/>
    <m/>
    <m/>
  </r>
  <r>
    <x v="0"/>
    <m/>
    <s v="CHICKEN"/>
    <m/>
    <m/>
    <m/>
    <m/>
    <m/>
  </r>
  <r>
    <x v="0"/>
    <m/>
    <s v="MUTTON BONELESS"/>
    <m/>
    <m/>
    <m/>
    <m/>
    <m/>
  </r>
  <r>
    <x v="0"/>
    <m/>
    <s v="MUTTON"/>
    <m/>
    <m/>
    <m/>
    <m/>
    <m/>
  </r>
  <r>
    <x v="0"/>
    <m/>
    <s v="FISH"/>
    <m/>
    <m/>
    <m/>
    <m/>
    <m/>
  </r>
  <r>
    <x v="0"/>
    <s v="GROUP 4"/>
    <s v="ATTA"/>
    <m/>
    <m/>
    <m/>
    <m/>
    <m/>
  </r>
  <r>
    <x v="0"/>
    <m/>
    <s v="MAIDA"/>
    <m/>
    <m/>
    <m/>
    <m/>
    <m/>
  </r>
  <r>
    <x v="0"/>
    <m/>
    <s v="SUJI"/>
    <m/>
    <m/>
    <m/>
    <m/>
    <m/>
  </r>
  <r>
    <x v="0"/>
    <m/>
    <s v="RICE DAILY"/>
    <m/>
    <m/>
    <m/>
    <m/>
    <m/>
  </r>
  <r>
    <x v="0"/>
    <m/>
    <s v="RICE BASMATI"/>
    <m/>
    <m/>
    <m/>
    <m/>
    <m/>
  </r>
  <r>
    <x v="0"/>
    <s v="GROUP 5"/>
    <s v=" CHANA DAAL"/>
    <m/>
    <m/>
    <m/>
    <m/>
    <m/>
  </r>
  <r>
    <x v="0"/>
    <m/>
    <s v="MASOOR DAAL"/>
    <m/>
    <m/>
    <m/>
    <m/>
    <m/>
  </r>
  <r>
    <x v="0"/>
    <m/>
    <s v="MOONG DAAL"/>
    <m/>
    <m/>
    <m/>
    <m/>
    <m/>
  </r>
  <r>
    <x v="0"/>
    <m/>
    <s v="ADHAD DAAL"/>
    <m/>
    <m/>
    <m/>
    <m/>
    <m/>
  </r>
  <r>
    <x v="0"/>
    <m/>
    <s v="MAAS DAAL"/>
    <m/>
    <m/>
    <m/>
    <m/>
    <m/>
  </r>
  <r>
    <x v="0"/>
    <s v="GROUP 6"/>
    <s v="DHANYA"/>
    <m/>
    <m/>
    <m/>
    <m/>
    <m/>
  </r>
  <r>
    <x v="0"/>
    <m/>
    <s v="ZEERA"/>
    <m/>
    <m/>
    <m/>
    <m/>
    <m/>
  </r>
  <r>
    <x v="0"/>
    <m/>
    <s v="GOLKI"/>
    <m/>
    <m/>
    <m/>
    <m/>
    <m/>
  </r>
  <r>
    <x v="0"/>
    <m/>
    <s v="HALDI"/>
    <m/>
    <m/>
    <m/>
    <m/>
    <m/>
  </r>
  <r>
    <x v="0"/>
    <m/>
    <s v="MIRCHA"/>
    <m/>
    <m/>
    <m/>
    <m/>
    <m/>
  </r>
  <r>
    <x v="0"/>
    <m/>
    <s v="SALT"/>
    <m/>
    <m/>
    <m/>
    <m/>
    <m/>
  </r>
  <r>
    <x v="0"/>
    <s v="GROUP 7"/>
    <s v="FRUITS"/>
    <m/>
    <m/>
    <m/>
    <m/>
    <m/>
  </r>
  <r>
    <x v="0"/>
    <m/>
    <s v="APPLE"/>
    <n v="0.7"/>
    <m/>
    <n v="400"/>
    <m/>
    <n v="280"/>
  </r>
  <r>
    <x v="0"/>
    <m/>
    <s v="POMEGRANATE"/>
    <n v="1"/>
    <m/>
    <n v="220"/>
    <m/>
    <n v="220"/>
  </r>
  <r>
    <x v="0"/>
    <m/>
    <s v="GUAVA"/>
    <m/>
    <s v="9PC"/>
    <n v="5"/>
    <m/>
    <n v="45"/>
  </r>
  <r>
    <x v="0"/>
    <m/>
    <s v="BANANA"/>
    <m/>
    <s v="12PC"/>
    <n v="5"/>
    <m/>
    <n v="60"/>
  </r>
  <r>
    <x v="0"/>
    <s v="GROUP 8"/>
    <s v="REFINE OIL"/>
    <m/>
    <m/>
    <m/>
    <m/>
    <m/>
  </r>
  <r>
    <x v="0"/>
    <m/>
    <s v="MUSTARD OIL"/>
    <m/>
    <m/>
    <m/>
    <m/>
    <m/>
  </r>
  <r>
    <x v="0"/>
    <s v="GROUP 9"/>
    <s v="EGG"/>
    <m/>
    <m/>
    <m/>
    <m/>
    <m/>
  </r>
  <r>
    <x v="0"/>
    <m/>
    <s v="MILK"/>
    <m/>
    <m/>
    <m/>
    <m/>
    <m/>
  </r>
  <r>
    <x v="0"/>
    <m/>
    <s v="BUTTER"/>
    <m/>
    <m/>
    <m/>
    <m/>
    <m/>
  </r>
  <r>
    <x v="0"/>
    <m/>
    <s v="GHEE"/>
    <m/>
    <m/>
    <m/>
    <m/>
    <m/>
  </r>
  <r>
    <x v="0"/>
    <s v="GROUP 10"/>
    <s v="DATES/KALMI"/>
    <n v="1"/>
    <m/>
    <n v="560"/>
    <m/>
    <n v="560"/>
  </r>
  <r>
    <x v="0"/>
    <m/>
    <s v="ALMOND"/>
    <n v="0.5"/>
    <m/>
    <n v="900"/>
    <n v="70"/>
    <n v="520"/>
  </r>
  <r>
    <x v="0"/>
    <m/>
    <s v="KAJU"/>
    <n v="0.5"/>
    <m/>
    <n v="600"/>
    <m/>
    <n v="300"/>
  </r>
  <r>
    <x v="0"/>
    <s v="GROUP 11"/>
    <s v="OTHER EXPENSE"/>
    <m/>
    <m/>
    <m/>
    <m/>
    <m/>
  </r>
  <r>
    <x v="0"/>
    <m/>
    <s v="PEN"/>
    <m/>
    <n v="40"/>
    <n v="10"/>
    <m/>
    <n v="400"/>
  </r>
  <r>
    <x v="1"/>
    <m/>
    <s v="CHICKEN BONELESS"/>
    <n v="2"/>
    <m/>
    <n v="270"/>
    <m/>
    <n v="540"/>
  </r>
  <r>
    <x v="1"/>
    <m/>
    <s v="FISH"/>
    <n v="4.2"/>
    <m/>
    <n v="350"/>
    <n v="70"/>
    <n v="1540"/>
  </r>
  <r>
    <x v="2"/>
    <s v="GROUP 1"/>
    <s v="ALOO/SHABBIR"/>
    <m/>
    <m/>
    <m/>
    <m/>
    <n v="20000"/>
  </r>
  <r>
    <x v="3"/>
    <s v="GROUP 4"/>
    <s v="ATTA"/>
    <n v="50"/>
    <m/>
    <n v="41"/>
    <n v="60"/>
    <n v="2110"/>
  </r>
  <r>
    <x v="3"/>
    <m/>
    <s v="POMEGRANATE"/>
    <m/>
    <m/>
    <m/>
    <m/>
    <n v="1400"/>
  </r>
  <r>
    <x v="3"/>
    <m/>
    <s v="TYRE REPAIR"/>
    <m/>
    <m/>
    <m/>
    <m/>
    <n v="500"/>
  </r>
  <r>
    <x v="3"/>
    <m/>
    <s v="MEHRAB/OLD HISAAB CLEARED"/>
    <m/>
    <m/>
    <m/>
    <m/>
    <n v="13500"/>
  </r>
  <r>
    <x v="4"/>
    <m/>
    <s v="BOTTLES"/>
    <m/>
    <m/>
    <m/>
    <m/>
    <n v="2700"/>
  </r>
  <r>
    <x v="4"/>
    <m/>
    <s v="SABBIR/PANDUA"/>
    <m/>
    <m/>
    <m/>
    <m/>
    <n v="20000"/>
  </r>
  <r>
    <x v="5"/>
    <m/>
    <s v="TSP/BUTADINE/REHAN/PENCIL/RUBBER/MURI/BADAM"/>
    <m/>
    <m/>
    <m/>
    <m/>
    <n v="1800"/>
  </r>
  <r>
    <x v="6"/>
    <m/>
    <s v="CHICKEN"/>
    <m/>
    <m/>
    <m/>
    <m/>
    <n v="1000"/>
  </r>
  <r>
    <x v="6"/>
    <s v="GROUP 3"/>
    <s v="BEEF BONELESS"/>
    <n v="1"/>
    <m/>
    <n v="400"/>
    <m/>
    <n v="400"/>
  </r>
  <r>
    <x v="6"/>
    <m/>
    <s v="BEEF"/>
    <n v="7.5"/>
    <m/>
    <n v="300"/>
    <m/>
    <n v="2250"/>
  </r>
  <r>
    <x v="7"/>
    <m/>
    <s v="LADDU+VEGGIE JOGDIYA"/>
    <m/>
    <m/>
    <m/>
    <m/>
    <n v="2500"/>
  </r>
  <r>
    <x v="7"/>
    <m/>
    <s v="MEHRAB/DAAB/VEG/BIR"/>
    <m/>
    <m/>
    <m/>
    <m/>
    <n v="3250"/>
  </r>
  <r>
    <x v="8"/>
    <m/>
    <s v="MAULANA TALHA"/>
    <m/>
    <m/>
    <m/>
    <m/>
    <n v="600"/>
  </r>
  <r>
    <x v="9"/>
    <m/>
    <s v="ZAHID SHIPUR"/>
    <m/>
    <m/>
    <m/>
    <m/>
    <n v="20000"/>
  </r>
  <r>
    <x v="10"/>
    <s v="GROUP 3"/>
    <s v="BEEF BONELESS"/>
    <n v="5"/>
    <m/>
    <n v="400"/>
    <n v="300"/>
    <n v="2300"/>
  </r>
  <r>
    <x v="10"/>
    <m/>
    <s v="BEEF"/>
    <n v="6"/>
    <m/>
    <n v="300"/>
    <m/>
    <n v="1800"/>
  </r>
  <r>
    <x v="10"/>
    <m/>
    <s v="POMEGRANATE"/>
    <m/>
    <n v="3"/>
    <m/>
    <m/>
    <n v="100"/>
  </r>
  <r>
    <x v="11"/>
    <m/>
    <s v="APPLE"/>
    <n v="1"/>
    <m/>
    <n v="400"/>
    <n v="270"/>
    <n v="670"/>
  </r>
  <r>
    <x v="11"/>
    <m/>
    <s v="POMEGRANATE"/>
    <n v="1.5"/>
    <m/>
    <n v="220"/>
    <m/>
    <n v="330"/>
  </r>
  <r>
    <x v="12"/>
    <s v="GROUP 1"/>
    <s v="ALOO"/>
    <n v="50"/>
    <m/>
    <n v="16"/>
    <n v="100"/>
    <n v="900"/>
  </r>
  <r>
    <x v="12"/>
    <m/>
    <s v="PIYAAZ"/>
    <n v="44"/>
    <m/>
    <n v="34"/>
    <m/>
    <n v="1496"/>
  </r>
  <r>
    <x v="12"/>
    <m/>
    <s v="ADRAK"/>
    <n v="5"/>
    <m/>
    <n v="150"/>
    <m/>
    <n v="750"/>
  </r>
  <r>
    <x v="12"/>
    <m/>
    <s v="LAHSUN"/>
    <n v="5"/>
    <m/>
    <n v="160"/>
    <m/>
    <n v="800"/>
  </r>
  <r>
    <x v="12"/>
    <s v="GROUP 9"/>
    <s v="EGG"/>
    <m/>
    <n v="60"/>
    <n v="6.35"/>
    <m/>
    <n v="381"/>
  </r>
  <r>
    <x v="13"/>
    <s v="GROUP 3"/>
    <s v="BEEF BONELESS"/>
    <n v="2"/>
    <m/>
    <n v="420"/>
    <n v="200"/>
    <n v="1040"/>
  </r>
  <r>
    <x v="13"/>
    <m/>
    <s v="BEEF"/>
    <n v="5"/>
    <m/>
    <n v="320"/>
    <m/>
    <n v="1600"/>
  </r>
  <r>
    <x v="13"/>
    <m/>
    <s v="CHICKEN BONELESS"/>
    <n v="2"/>
    <m/>
    <n v="300"/>
    <m/>
    <n v="600"/>
  </r>
  <r>
    <x v="14"/>
    <m/>
    <s v="CHICKEN BONELESS"/>
    <n v="4"/>
    <m/>
    <n v="300"/>
    <m/>
    <n v="1200"/>
  </r>
  <r>
    <x v="14"/>
    <m/>
    <s v="CHICKEN"/>
    <n v="5"/>
    <m/>
    <n v="240"/>
    <m/>
    <n v="1200"/>
  </r>
  <r>
    <x v="14"/>
    <m/>
    <s v="POMEGRANATE"/>
    <n v="3"/>
    <m/>
    <n v="290"/>
    <n v="130"/>
    <n v="1000"/>
  </r>
  <r>
    <x v="15"/>
    <m/>
    <m/>
    <m/>
    <m/>
    <m/>
    <m/>
    <m/>
  </r>
  <r>
    <x v="15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MonthlyTotals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J2:K6" firstHeaderRow="1" firstDataRow="1" firstDataCol="1"/>
  <pivotFields count="9"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4">
    <i>
      <x/>
    </i>
    <i>
      <x v="8"/>
    </i>
    <i>
      <x v="9"/>
    </i>
    <i t="grand">
      <x/>
    </i>
  </rowItems>
  <colItems count="1">
    <i/>
  </colItems>
  <dataFields count="1">
    <dataField name="Sum of TOTAL AMOUNT" fld="7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EntryFormTable" displayName="EntryFormTable" ref="A3:G92" totalsRowShown="0">
  <autoFilter ref="A3:G92" xr:uid="{00000000-0009-0000-0100-000002000000}"/>
  <tableColumns count="7">
    <tableColumn id="1" xr3:uid="{00000000-0010-0000-0000-000001000000}" name="GROUP / FOR"/>
    <tableColumn id="2" xr3:uid="{00000000-0010-0000-0000-000002000000}" name="ITEM NAME"/>
    <tableColumn id="3" xr3:uid="{00000000-0010-0000-0000-000003000000}" name="QTY (KG)"/>
    <tableColumn id="4" xr3:uid="{00000000-0010-0000-0000-000004000000}" name="QTY (PCS)"/>
    <tableColumn id="5" xr3:uid="{00000000-0010-0000-0000-000005000000}" name="RATE"/>
    <tableColumn id="6" xr3:uid="{00000000-0010-0000-0000-000006000000}" name="TRSP"/>
    <tableColumn id="7" xr3:uid="{00000000-0010-0000-0000-000007000000}" name="TOTAL AMOUN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ilyPurchaseLedger" displayName="DailyPurchaseLedger" ref="A1:H91" totalsRowShown="0">
  <autoFilter ref="A1:H91" xr:uid="{00000000-0009-0000-0100-000001000000}"/>
  <sortState xmlns:xlrd2="http://schemas.microsoft.com/office/spreadsheetml/2017/richdata2" ref="A2:H91">
    <sortCondition ref="A1:A91"/>
  </sortState>
  <tableColumns count="8">
    <tableColumn id="1" xr3:uid="{00000000-0010-0000-0100-000001000000}" name="DATE" dataDxfId="14"/>
    <tableColumn id="2" xr3:uid="{00000000-0010-0000-0100-000002000000}" name="GROUP / FOR"/>
    <tableColumn id="3" xr3:uid="{00000000-0010-0000-0100-000003000000}" name="ITEM NAME"/>
    <tableColumn id="4" xr3:uid="{00000000-0010-0000-0100-000004000000}" name="QTY (KG)"/>
    <tableColumn id="5" xr3:uid="{00000000-0010-0000-0100-000005000000}" name="QTY (PCS)"/>
    <tableColumn id="6" xr3:uid="{00000000-0010-0000-0100-000006000000}" name="RATE"/>
    <tableColumn id="7" xr3:uid="{00000000-0010-0000-0100-000007000000}" name="TRSP"/>
    <tableColumn id="8" xr3:uid="{00000000-0010-0000-0100-000008000000}" name="TOTAL AMOUNT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iscPaymentsTable" displayName="MiscPaymentsTable" ref="A1:D3" totalsRowShown="0">
  <autoFilter ref="A1:D3" xr:uid="{00000000-0009-0000-0100-000003000000}"/>
  <tableColumns count="4">
    <tableColumn id="1" xr3:uid="{00000000-0010-0000-0200-000001000000}" name="DATE" dataDxfId="13"/>
    <tableColumn id="2" xr3:uid="{00000000-0010-0000-0200-000002000000}" name="PAID TO"/>
    <tableColumn id="3" xr3:uid="{00000000-0010-0000-0200-000003000000}" name="DESCRIPTION"/>
    <tableColumn id="4" xr3:uid="{00000000-0010-0000-0200-000004000000}" name="AMOUNT" dataDxfId="1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P36"/>
  <sheetViews>
    <sheetView showOutlineSymbols="0" zoomScale="70" zoomScaleNormal="70" workbookViewId="0">
      <selection activeCell="M14" sqref="M14"/>
    </sheetView>
  </sheetViews>
  <sheetFormatPr defaultColWidth="8.85546875" defaultRowHeight="15" outlineLevelRow="2" x14ac:dyDescent="0.25"/>
  <cols>
    <col min="1" max="1" width="27.140625" bestFit="1" customWidth="1"/>
    <col min="2" max="2" width="20.140625" bestFit="1" customWidth="1"/>
    <col min="3" max="3" width="27.140625" bestFit="1" customWidth="1"/>
    <col min="4" max="4" width="19.7109375" bestFit="1" customWidth="1"/>
    <col min="5" max="5" width="27.28515625" bestFit="1" customWidth="1"/>
    <col min="6" max="6" width="15.28515625" bestFit="1" customWidth="1"/>
    <col min="7" max="7" width="25.42578125" bestFit="1" customWidth="1"/>
    <col min="8" max="8" width="30.7109375" bestFit="1" customWidth="1"/>
    <col min="9" max="9" width="24.42578125" bestFit="1" customWidth="1"/>
    <col min="10" max="11" width="18.7109375" bestFit="1" customWidth="1"/>
    <col min="12" max="12" width="20.5703125" bestFit="1" customWidth="1"/>
    <col min="13" max="13" width="26.85546875" bestFit="1" customWidth="1"/>
    <col min="14" max="14" width="22.140625" bestFit="1" customWidth="1"/>
    <col min="15" max="15" width="15.7109375" bestFit="1" customWidth="1"/>
    <col min="16" max="16" width="22.140625" bestFit="1" customWidth="1"/>
  </cols>
  <sheetData>
    <row r="1" spans="1:16" s="2" customFormat="1" ht="24.95" customHeight="1" x14ac:dyDescent="0.25">
      <c r="A1" s="68" t="s">
        <v>334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30" t="s">
        <v>228</v>
      </c>
      <c r="J1" s="7" t="s">
        <v>368</v>
      </c>
      <c r="K1" s="7" t="s">
        <v>74</v>
      </c>
      <c r="L1" s="7" t="s">
        <v>209</v>
      </c>
      <c r="M1" s="7" t="s">
        <v>206</v>
      </c>
      <c r="N1" s="7" t="s">
        <v>207</v>
      </c>
      <c r="O1" s="7" t="s">
        <v>208</v>
      </c>
      <c r="P1" s="29" t="s">
        <v>227</v>
      </c>
    </row>
    <row r="2" spans="1:16" ht="26.1" customHeight="1" outlineLevel="2" x14ac:dyDescent="0.35">
      <c r="A2" s="75">
        <v>46267</v>
      </c>
      <c r="B2" t="s">
        <v>7</v>
      </c>
      <c r="C2" t="s">
        <v>8</v>
      </c>
      <c r="D2">
        <v>35000</v>
      </c>
      <c r="E2" t="s">
        <v>9</v>
      </c>
      <c r="F2" t="s">
        <v>10</v>
      </c>
      <c r="H2" s="74"/>
      <c r="I2" s="94">
        <v>35000</v>
      </c>
      <c r="J2" s="95">
        <v>0</v>
      </c>
      <c r="K2" s="8" t="s">
        <v>10</v>
      </c>
      <c r="L2" s="47">
        <v>46275</v>
      </c>
      <c r="M2" s="77">
        <v>246600</v>
      </c>
      <c r="N2" s="78">
        <v>246600</v>
      </c>
      <c r="O2" s="79">
        <v>0</v>
      </c>
      <c r="P2" s="66" t="s">
        <v>273</v>
      </c>
    </row>
    <row r="3" spans="1:16" ht="26.1" customHeight="1" outlineLevel="2" x14ac:dyDescent="0.35">
      <c r="A3" s="75">
        <v>46269</v>
      </c>
      <c r="B3" t="s">
        <v>11</v>
      </c>
      <c r="C3" t="s">
        <v>12</v>
      </c>
      <c r="D3">
        <v>11000</v>
      </c>
      <c r="E3" t="s">
        <v>13</v>
      </c>
      <c r="F3" t="s">
        <v>10</v>
      </c>
      <c r="H3" s="74"/>
      <c r="I3" s="94">
        <v>11000</v>
      </c>
      <c r="J3" s="95">
        <v>0</v>
      </c>
      <c r="K3" s="9" t="s">
        <v>31</v>
      </c>
      <c r="L3" s="65">
        <v>46284</v>
      </c>
      <c r="M3" s="77">
        <v>420500</v>
      </c>
      <c r="N3" s="78">
        <v>420500</v>
      </c>
      <c r="O3" s="79">
        <v>0</v>
      </c>
      <c r="P3" s="67"/>
    </row>
    <row r="4" spans="1:16" ht="26.1" customHeight="1" outlineLevel="2" x14ac:dyDescent="0.35">
      <c r="A4" s="75">
        <v>46269</v>
      </c>
      <c r="B4" t="s">
        <v>14</v>
      </c>
      <c r="C4" t="s">
        <v>12</v>
      </c>
      <c r="D4">
        <v>26000</v>
      </c>
      <c r="E4" t="s">
        <v>15</v>
      </c>
      <c r="F4" t="s">
        <v>10</v>
      </c>
      <c r="H4" s="74"/>
      <c r="I4" s="94">
        <v>26000</v>
      </c>
      <c r="J4" s="95">
        <v>0</v>
      </c>
      <c r="K4" s="8" t="s">
        <v>55</v>
      </c>
      <c r="L4" s="47">
        <v>46294</v>
      </c>
      <c r="M4" s="77">
        <v>66000</v>
      </c>
      <c r="N4" s="78">
        <v>66000</v>
      </c>
      <c r="O4" s="79">
        <v>0</v>
      </c>
      <c r="P4" s="67"/>
    </row>
    <row r="5" spans="1:16" ht="26.1" customHeight="1" outlineLevel="2" x14ac:dyDescent="0.35">
      <c r="A5" s="75">
        <v>46267</v>
      </c>
      <c r="B5" t="s">
        <v>16</v>
      </c>
      <c r="C5" t="s">
        <v>12</v>
      </c>
      <c r="D5">
        <v>35000</v>
      </c>
      <c r="E5" t="s">
        <v>17</v>
      </c>
      <c r="F5" t="s">
        <v>10</v>
      </c>
      <c r="H5" s="74"/>
      <c r="I5" s="94">
        <v>35000</v>
      </c>
      <c r="J5" s="95">
        <v>0</v>
      </c>
      <c r="K5" s="9" t="s">
        <v>64</v>
      </c>
      <c r="L5" s="65">
        <v>46297</v>
      </c>
      <c r="M5" s="77">
        <v>106500</v>
      </c>
      <c r="N5" s="78">
        <v>95000</v>
      </c>
      <c r="O5" s="79">
        <v>11500</v>
      </c>
      <c r="P5" s="67"/>
    </row>
    <row r="6" spans="1:16" ht="26.1" customHeight="1" outlineLevel="2" x14ac:dyDescent="0.35">
      <c r="A6" s="75">
        <v>46268</v>
      </c>
      <c r="B6" t="s">
        <v>18</v>
      </c>
      <c r="C6" t="s">
        <v>12</v>
      </c>
      <c r="D6">
        <v>20000</v>
      </c>
      <c r="E6" t="s">
        <v>19</v>
      </c>
      <c r="F6" t="s">
        <v>10</v>
      </c>
      <c r="H6" s="74"/>
      <c r="I6" s="94">
        <v>20000</v>
      </c>
      <c r="J6" s="95">
        <v>0</v>
      </c>
      <c r="K6" s="55" t="s">
        <v>330</v>
      </c>
      <c r="L6" s="55"/>
      <c r="M6" s="77">
        <f>SUM(M2:M5)</f>
        <v>839600</v>
      </c>
      <c r="N6" s="78">
        <f>SUM(N2:N5)</f>
        <v>828100</v>
      </c>
      <c r="O6" s="79">
        <f>SUM(O2:O5)</f>
        <v>11500</v>
      </c>
      <c r="P6" s="67"/>
    </row>
    <row r="7" spans="1:16" outlineLevel="2" x14ac:dyDescent="0.25">
      <c r="A7" s="75">
        <v>46267</v>
      </c>
      <c r="B7" t="s">
        <v>20</v>
      </c>
      <c r="C7" t="s">
        <v>8</v>
      </c>
      <c r="D7">
        <v>24500</v>
      </c>
      <c r="E7" t="s">
        <v>21</v>
      </c>
      <c r="F7" t="s">
        <v>10</v>
      </c>
      <c r="H7" s="74"/>
      <c r="I7" s="94">
        <v>24500</v>
      </c>
      <c r="J7" s="95">
        <v>0</v>
      </c>
    </row>
    <row r="8" spans="1:16" outlineLevel="2" x14ac:dyDescent="0.25">
      <c r="A8" s="75">
        <v>46272</v>
      </c>
      <c r="B8" t="s">
        <v>22</v>
      </c>
      <c r="C8">
        <v>56</v>
      </c>
      <c r="D8">
        <v>50000</v>
      </c>
      <c r="E8" t="s">
        <v>23</v>
      </c>
      <c r="F8" t="s">
        <v>10</v>
      </c>
      <c r="H8" s="74"/>
      <c r="I8" s="94">
        <v>50000</v>
      </c>
      <c r="J8" s="95">
        <v>0</v>
      </c>
    </row>
    <row r="9" spans="1:16" outlineLevel="2" x14ac:dyDescent="0.25">
      <c r="A9" s="75">
        <v>46267</v>
      </c>
      <c r="B9" t="s">
        <v>24</v>
      </c>
      <c r="C9" t="s">
        <v>8</v>
      </c>
      <c r="D9">
        <v>12100</v>
      </c>
      <c r="E9" t="s">
        <v>15</v>
      </c>
      <c r="F9" t="s">
        <v>10</v>
      </c>
      <c r="H9" s="74"/>
      <c r="I9" s="94">
        <v>12100</v>
      </c>
      <c r="J9" s="95">
        <v>0</v>
      </c>
    </row>
    <row r="10" spans="1:16" outlineLevel="2" x14ac:dyDescent="0.25">
      <c r="A10" s="75">
        <v>46275</v>
      </c>
      <c r="B10" t="s">
        <v>25</v>
      </c>
      <c r="C10" t="s">
        <v>8</v>
      </c>
      <c r="D10">
        <v>20000</v>
      </c>
      <c r="E10" t="s">
        <v>26</v>
      </c>
      <c r="F10" t="s">
        <v>10</v>
      </c>
      <c r="H10" s="74"/>
      <c r="I10" s="94">
        <v>20000</v>
      </c>
      <c r="J10" s="95">
        <v>0</v>
      </c>
    </row>
    <row r="11" spans="1:16" outlineLevel="2" x14ac:dyDescent="0.25">
      <c r="A11" s="75">
        <v>46267</v>
      </c>
      <c r="B11" t="s">
        <v>27</v>
      </c>
      <c r="C11" t="s">
        <v>8</v>
      </c>
      <c r="D11">
        <v>13000</v>
      </c>
      <c r="E11" t="s">
        <v>28</v>
      </c>
      <c r="F11" t="s">
        <v>10</v>
      </c>
      <c r="H11" s="74"/>
      <c r="I11" s="94">
        <v>13000</v>
      </c>
      <c r="J11" s="95">
        <v>0</v>
      </c>
    </row>
    <row r="12" spans="1:16" outlineLevel="1" x14ac:dyDescent="0.25">
      <c r="A12" s="70"/>
      <c r="B12" s="71"/>
      <c r="C12" s="71"/>
      <c r="D12" s="71">
        <f>SUBTOTAL(9,D2:D11)</f>
        <v>246600</v>
      </c>
      <c r="E12" s="71"/>
      <c r="F12" s="69" t="s">
        <v>338</v>
      </c>
      <c r="G12" s="71"/>
      <c r="H12" s="72"/>
      <c r="I12" s="94"/>
      <c r="J12" s="95"/>
    </row>
    <row r="13" spans="1:16" outlineLevel="2" x14ac:dyDescent="0.25">
      <c r="A13" s="75">
        <v>46279</v>
      </c>
      <c r="B13" t="s">
        <v>29</v>
      </c>
      <c r="C13" t="s">
        <v>8</v>
      </c>
      <c r="D13">
        <v>70000</v>
      </c>
      <c r="E13" t="s">
        <v>30</v>
      </c>
      <c r="F13" t="s">
        <v>31</v>
      </c>
      <c r="H13" s="74"/>
      <c r="I13" s="94">
        <v>70000</v>
      </c>
      <c r="J13" s="95">
        <v>0</v>
      </c>
    </row>
    <row r="14" spans="1:16" outlineLevel="2" x14ac:dyDescent="0.25">
      <c r="A14" s="75">
        <v>46279</v>
      </c>
      <c r="B14" t="s">
        <v>32</v>
      </c>
      <c r="C14" t="s">
        <v>12</v>
      </c>
      <c r="D14">
        <v>45000</v>
      </c>
      <c r="E14" t="s">
        <v>33</v>
      </c>
      <c r="F14" t="s">
        <v>31</v>
      </c>
      <c r="H14" s="74"/>
      <c r="I14" s="94">
        <v>45000</v>
      </c>
      <c r="J14" s="95">
        <v>0</v>
      </c>
    </row>
    <row r="15" spans="1:16" outlineLevel="2" x14ac:dyDescent="0.25">
      <c r="A15" s="75">
        <v>46284</v>
      </c>
      <c r="B15" t="s">
        <v>34</v>
      </c>
      <c r="C15" t="s">
        <v>8</v>
      </c>
      <c r="D15">
        <v>75000</v>
      </c>
      <c r="E15" t="s">
        <v>35</v>
      </c>
      <c r="F15" t="s">
        <v>31</v>
      </c>
      <c r="H15" s="74"/>
      <c r="I15" s="94">
        <v>75000</v>
      </c>
      <c r="J15" s="95">
        <v>0</v>
      </c>
    </row>
    <row r="16" spans="1:16" outlineLevel="2" x14ac:dyDescent="0.25">
      <c r="A16" s="75">
        <v>46277</v>
      </c>
      <c r="B16" t="s">
        <v>36</v>
      </c>
      <c r="C16" t="s">
        <v>8</v>
      </c>
      <c r="D16">
        <v>27500</v>
      </c>
      <c r="E16" t="s">
        <v>37</v>
      </c>
      <c r="F16" t="s">
        <v>31</v>
      </c>
      <c r="H16" s="74"/>
      <c r="I16" s="94">
        <v>27500</v>
      </c>
      <c r="J16" s="95">
        <v>0</v>
      </c>
    </row>
    <row r="17" spans="1:10" outlineLevel="2" x14ac:dyDescent="0.25">
      <c r="A17" s="75">
        <v>46281</v>
      </c>
      <c r="B17" t="s">
        <v>38</v>
      </c>
      <c r="C17" t="s">
        <v>8</v>
      </c>
      <c r="D17">
        <v>35000</v>
      </c>
      <c r="E17" t="s">
        <v>39</v>
      </c>
      <c r="F17" t="s">
        <v>31</v>
      </c>
      <c r="H17" s="74"/>
      <c r="I17" s="94">
        <v>35000</v>
      </c>
      <c r="J17" s="95">
        <v>0</v>
      </c>
    </row>
    <row r="18" spans="1:10" outlineLevel="2" x14ac:dyDescent="0.25">
      <c r="A18" s="75">
        <v>46279</v>
      </c>
      <c r="B18" t="s">
        <v>40</v>
      </c>
      <c r="C18" t="s">
        <v>12</v>
      </c>
      <c r="D18">
        <v>30000</v>
      </c>
      <c r="E18" t="s">
        <v>41</v>
      </c>
      <c r="F18" t="s">
        <v>31</v>
      </c>
      <c r="H18" s="74"/>
      <c r="I18" s="94">
        <v>30000</v>
      </c>
      <c r="J18" s="95">
        <v>0</v>
      </c>
    </row>
    <row r="19" spans="1:10" outlineLevel="2" x14ac:dyDescent="0.25">
      <c r="A19" s="75">
        <v>46275</v>
      </c>
      <c r="B19" t="s">
        <v>42</v>
      </c>
      <c r="C19" t="s">
        <v>12</v>
      </c>
      <c r="D19">
        <v>20000</v>
      </c>
      <c r="E19" t="s">
        <v>43</v>
      </c>
      <c r="F19" t="s">
        <v>31</v>
      </c>
      <c r="G19" t="s">
        <v>44</v>
      </c>
      <c r="H19" s="74"/>
      <c r="I19" s="94">
        <v>20000</v>
      </c>
      <c r="J19" s="95">
        <v>0</v>
      </c>
    </row>
    <row r="20" spans="1:10" outlineLevel="2" x14ac:dyDescent="0.25">
      <c r="A20" s="75">
        <v>46279</v>
      </c>
      <c r="B20" t="s">
        <v>45</v>
      </c>
      <c r="C20" t="s">
        <v>8</v>
      </c>
      <c r="D20">
        <v>19000</v>
      </c>
      <c r="E20" t="s">
        <v>46</v>
      </c>
      <c r="F20" t="s">
        <v>31</v>
      </c>
      <c r="H20" s="74"/>
      <c r="I20" s="94">
        <v>19000</v>
      </c>
      <c r="J20" s="95">
        <v>0</v>
      </c>
    </row>
    <row r="21" spans="1:10" outlineLevel="2" x14ac:dyDescent="0.25">
      <c r="A21" s="75">
        <v>46281</v>
      </c>
      <c r="B21" t="s">
        <v>47</v>
      </c>
      <c r="C21" t="s">
        <v>8</v>
      </c>
      <c r="D21">
        <v>38000</v>
      </c>
      <c r="E21" t="s">
        <v>48</v>
      </c>
      <c r="F21" t="s">
        <v>31</v>
      </c>
      <c r="H21" s="74"/>
      <c r="I21" s="94">
        <v>38000</v>
      </c>
      <c r="J21" s="95">
        <v>0</v>
      </c>
    </row>
    <row r="22" spans="1:10" outlineLevel="2" x14ac:dyDescent="0.25">
      <c r="A22" s="75">
        <v>46277</v>
      </c>
      <c r="B22" t="s">
        <v>49</v>
      </c>
      <c r="C22" t="s">
        <v>8</v>
      </c>
      <c r="D22">
        <v>16000</v>
      </c>
      <c r="E22" t="s">
        <v>50</v>
      </c>
      <c r="F22" t="s">
        <v>31</v>
      </c>
      <c r="H22" s="74"/>
      <c r="I22" s="94">
        <v>16000</v>
      </c>
      <c r="J22" s="95">
        <v>0</v>
      </c>
    </row>
    <row r="23" spans="1:10" outlineLevel="2" x14ac:dyDescent="0.25">
      <c r="A23" s="75">
        <v>46279</v>
      </c>
      <c r="B23" t="s">
        <v>51</v>
      </c>
      <c r="C23" t="s">
        <v>12</v>
      </c>
      <c r="D23">
        <v>45000</v>
      </c>
      <c r="E23" t="s">
        <v>52</v>
      </c>
      <c r="F23" t="s">
        <v>31</v>
      </c>
      <c r="H23" s="74"/>
      <c r="I23" s="94">
        <v>45000</v>
      </c>
      <c r="J23" s="95">
        <v>0</v>
      </c>
    </row>
    <row r="24" spans="1:10" outlineLevel="1" x14ac:dyDescent="0.25">
      <c r="A24" s="70"/>
      <c r="B24" s="71"/>
      <c r="C24" s="71"/>
      <c r="D24" s="71">
        <f>SUBTOTAL(9,D13:D23)</f>
        <v>420500</v>
      </c>
      <c r="E24" s="71"/>
      <c r="F24" s="71" t="s">
        <v>339</v>
      </c>
      <c r="G24" s="71"/>
      <c r="H24" s="72"/>
      <c r="I24" s="94"/>
      <c r="J24" s="95"/>
    </row>
    <row r="25" spans="1:10" outlineLevel="2" x14ac:dyDescent="0.25">
      <c r="A25" s="75">
        <v>46294</v>
      </c>
      <c r="B25" t="s">
        <v>53</v>
      </c>
      <c r="C25" t="s">
        <v>12</v>
      </c>
      <c r="D25">
        <v>14000</v>
      </c>
      <c r="E25" t="s">
        <v>54</v>
      </c>
      <c r="F25" t="s">
        <v>55</v>
      </c>
      <c r="H25" s="74"/>
      <c r="I25" s="94">
        <v>14000</v>
      </c>
      <c r="J25" s="95">
        <v>0</v>
      </c>
    </row>
    <row r="26" spans="1:10" outlineLevel="2" x14ac:dyDescent="0.25">
      <c r="A26" s="75">
        <v>46291</v>
      </c>
      <c r="B26" t="s">
        <v>56</v>
      </c>
      <c r="C26" t="s">
        <v>8</v>
      </c>
      <c r="D26">
        <v>25000</v>
      </c>
      <c r="E26" t="s">
        <v>17</v>
      </c>
      <c r="F26" t="s">
        <v>55</v>
      </c>
      <c r="H26" s="74"/>
      <c r="I26" s="94">
        <v>25000</v>
      </c>
      <c r="J26" s="95">
        <v>0</v>
      </c>
    </row>
    <row r="27" spans="1:10" outlineLevel="2" x14ac:dyDescent="0.25">
      <c r="A27" s="75">
        <v>46289</v>
      </c>
      <c r="B27" t="s">
        <v>57</v>
      </c>
      <c r="C27" t="s">
        <v>58</v>
      </c>
      <c r="D27">
        <v>15000</v>
      </c>
      <c r="E27" t="s">
        <v>59</v>
      </c>
      <c r="F27" t="s">
        <v>55</v>
      </c>
      <c r="H27" s="74"/>
      <c r="I27" s="94">
        <v>15000</v>
      </c>
      <c r="J27" s="95">
        <v>0</v>
      </c>
    </row>
    <row r="28" spans="1:10" outlineLevel="2" x14ac:dyDescent="0.25">
      <c r="A28" s="75">
        <v>46294</v>
      </c>
      <c r="B28" t="s">
        <v>60</v>
      </c>
      <c r="C28" t="s">
        <v>12</v>
      </c>
      <c r="D28">
        <v>12000</v>
      </c>
      <c r="E28" t="s">
        <v>61</v>
      </c>
      <c r="F28" t="s">
        <v>55</v>
      </c>
      <c r="H28" s="74"/>
      <c r="I28" s="94">
        <v>12000</v>
      </c>
      <c r="J28" s="95">
        <v>0</v>
      </c>
    </row>
    <row r="29" spans="1:10" outlineLevel="1" x14ac:dyDescent="0.25">
      <c r="A29" s="70"/>
      <c r="B29" s="71"/>
      <c r="C29" s="71"/>
      <c r="D29" s="71">
        <f>SUBTOTAL(9,D25:D28)</f>
        <v>66000</v>
      </c>
      <c r="E29" s="71"/>
      <c r="F29" s="71" t="s">
        <v>340</v>
      </c>
      <c r="G29" s="71"/>
      <c r="H29" s="72"/>
      <c r="I29" s="94"/>
      <c r="J29" s="95"/>
    </row>
    <row r="30" spans="1:10" outlineLevel="2" x14ac:dyDescent="0.25">
      <c r="A30" s="75">
        <v>46295</v>
      </c>
      <c r="B30" t="s">
        <v>62</v>
      </c>
      <c r="C30" t="s">
        <v>8</v>
      </c>
      <c r="D30">
        <v>27500</v>
      </c>
      <c r="E30" t="s">
        <v>63</v>
      </c>
      <c r="F30" t="s">
        <v>64</v>
      </c>
      <c r="H30" s="74"/>
      <c r="I30" s="94">
        <v>27500</v>
      </c>
      <c r="J30" s="95">
        <v>0</v>
      </c>
    </row>
    <row r="31" spans="1:10" outlineLevel="2" x14ac:dyDescent="0.25">
      <c r="A31" s="75">
        <v>46288</v>
      </c>
      <c r="B31" t="s">
        <v>65</v>
      </c>
      <c r="C31" t="s">
        <v>12</v>
      </c>
      <c r="D31">
        <v>22500</v>
      </c>
      <c r="E31" t="s">
        <v>46</v>
      </c>
      <c r="F31" t="s">
        <v>64</v>
      </c>
      <c r="H31" s="74"/>
      <c r="I31" s="94">
        <v>22500</v>
      </c>
      <c r="J31" s="95">
        <v>0</v>
      </c>
    </row>
    <row r="32" spans="1:10" outlineLevel="2" x14ac:dyDescent="0.25">
      <c r="A32" s="75">
        <v>46297</v>
      </c>
      <c r="B32" t="s">
        <v>66</v>
      </c>
      <c r="C32" t="s">
        <v>12</v>
      </c>
      <c r="D32">
        <v>45000</v>
      </c>
      <c r="E32" t="s">
        <v>67</v>
      </c>
      <c r="F32" t="s">
        <v>64</v>
      </c>
      <c r="H32" s="74"/>
      <c r="I32" s="94">
        <v>45000</v>
      </c>
      <c r="J32" s="95">
        <v>0</v>
      </c>
    </row>
    <row r="33" spans="1:10" outlineLevel="2" x14ac:dyDescent="0.25">
      <c r="A33" s="4" t="s">
        <v>274</v>
      </c>
      <c r="B33" t="s">
        <v>68</v>
      </c>
      <c r="C33" t="s">
        <v>12</v>
      </c>
      <c r="D33">
        <v>11500</v>
      </c>
      <c r="E33" t="s">
        <v>26</v>
      </c>
      <c r="F33" t="s">
        <v>64</v>
      </c>
      <c r="H33" s="74"/>
      <c r="I33" s="94">
        <v>0</v>
      </c>
      <c r="J33" s="95">
        <v>11500</v>
      </c>
    </row>
    <row r="34" spans="1:10" outlineLevel="1" x14ac:dyDescent="0.25">
      <c r="A34" s="73"/>
      <c r="B34" s="71"/>
      <c r="C34" s="71"/>
      <c r="D34" s="71">
        <f>SUBTOTAL(9,D30:D33)</f>
        <v>106500</v>
      </c>
      <c r="E34" s="71"/>
      <c r="F34" s="71" t="s">
        <v>341</v>
      </c>
      <c r="G34" s="71"/>
      <c r="H34" s="72"/>
      <c r="I34" s="94"/>
      <c r="J34" s="95"/>
    </row>
    <row r="35" spans="1:10" x14ac:dyDescent="0.25">
      <c r="A35" s="73"/>
      <c r="B35" s="71"/>
      <c r="C35" s="71"/>
      <c r="D35" s="71">
        <f>SUBTOTAL(9,D2:D33)</f>
        <v>839600</v>
      </c>
      <c r="E35" s="71"/>
      <c r="F35" s="71" t="s">
        <v>69</v>
      </c>
      <c r="G35" s="71"/>
      <c r="H35" s="72"/>
      <c r="I35" s="94"/>
      <c r="J35" s="95"/>
    </row>
    <row r="36" spans="1:10" x14ac:dyDescent="0.25">
      <c r="J36" s="55" t="s">
        <v>330</v>
      </c>
    </row>
  </sheetData>
  <autoFilter ref="B1:N1" xr:uid="{00000000-0009-0000-0000-000000000000}"/>
  <sortState xmlns:xlrd2="http://schemas.microsoft.com/office/spreadsheetml/2017/richdata2" ref="A2:H33">
    <sortCondition ref="F2:F33"/>
  </sortState>
  <conditionalFormatting sqref="H2:H35">
    <cfRule type="expression" dxfId="20" priority="4" stopIfTrue="1">
      <formula>$H2&gt;=$C2</formula>
    </cfRule>
    <cfRule type="expression" dxfId="19" priority="5" stopIfTrue="1">
      <formula>AND($H2&gt;0, $H2&lt;$C2)</formula>
    </cfRule>
  </conditionalFormatting>
  <conditionalFormatting sqref="I2:I35">
    <cfRule type="expression" dxfId="2" priority="6" stopIfTrue="1">
      <formula>$I2&gt;=$D2</formula>
    </cfRule>
    <cfRule type="expression" dxfId="1" priority="7" stopIfTrue="1">
      <formula>AND($I2&gt;0, $I2&lt;$D2)</formula>
    </cfRule>
  </conditionalFormatting>
  <conditionalFormatting sqref="J2:J35">
    <cfRule type="expression" dxfId="0" priority="8" stopIfTrue="1">
      <formula>$J2&gt;0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R1004"/>
  <sheetViews>
    <sheetView tabSelected="1" zoomScale="70" zoomScaleNormal="70" workbookViewId="0">
      <selection activeCell="J39" sqref="J39"/>
    </sheetView>
  </sheetViews>
  <sheetFormatPr defaultColWidth="11.42578125" defaultRowHeight="15" x14ac:dyDescent="0.25"/>
  <cols>
    <col min="1" max="1" width="30.28515625" bestFit="1" customWidth="1"/>
    <col min="2" max="2" width="24" bestFit="1" customWidth="1"/>
    <col min="3" max="3" width="21.5703125" style="4" bestFit="1" customWidth="1"/>
    <col min="4" max="4" width="24.42578125" style="4" bestFit="1" customWidth="1"/>
    <col min="5" max="5" width="24" style="4" bestFit="1" customWidth="1"/>
    <col min="6" max="6" width="26" style="4" bestFit="1" customWidth="1"/>
    <col min="7" max="10" width="17.42578125" style="4" customWidth="1"/>
    <col min="11" max="12" width="9.85546875" customWidth="1"/>
    <col min="13" max="14" width="12.42578125" customWidth="1"/>
    <col min="15" max="15" width="10.85546875" customWidth="1"/>
    <col min="16" max="22" width="12.42578125" customWidth="1"/>
    <col min="23" max="24" width="13.42578125" customWidth="1"/>
    <col min="25" max="25" width="12.42578125" customWidth="1"/>
    <col min="27" max="27" width="19.42578125" bestFit="1" customWidth="1"/>
    <col min="28" max="28" width="13.42578125" bestFit="1" customWidth="1"/>
    <col min="29" max="29" width="12.42578125" customWidth="1"/>
    <col min="30" max="30" width="15.42578125" bestFit="1" customWidth="1"/>
    <col min="33" max="34" width="12.42578125" customWidth="1"/>
    <col min="35" max="35" width="19.42578125" customWidth="1"/>
    <col min="37" max="37" width="12.42578125" customWidth="1"/>
    <col min="40" max="40" width="11.42578125" customWidth="1"/>
    <col min="42" max="42" width="12.42578125" customWidth="1"/>
  </cols>
  <sheetData>
    <row r="1" spans="1:44" s="2" customFormat="1" x14ac:dyDescent="0.25">
      <c r="A1" s="27" t="s">
        <v>72</v>
      </c>
      <c r="B1" s="27" t="s">
        <v>76</v>
      </c>
      <c r="C1" s="27" t="s">
        <v>219</v>
      </c>
      <c r="D1" s="27" t="s">
        <v>70</v>
      </c>
      <c r="E1" s="27" t="s">
        <v>277</v>
      </c>
      <c r="F1" s="27" t="s">
        <v>70</v>
      </c>
      <c r="G1" s="27" t="s">
        <v>249</v>
      </c>
      <c r="H1" s="27" t="s">
        <v>73</v>
      </c>
      <c r="I1" s="27" t="s">
        <v>188</v>
      </c>
      <c r="J1" s="27" t="s">
        <v>70</v>
      </c>
      <c r="K1" s="27" t="s">
        <v>77</v>
      </c>
      <c r="L1" s="27" t="s">
        <v>73</v>
      </c>
      <c r="M1" s="27" t="s">
        <v>188</v>
      </c>
      <c r="N1" s="27" t="s">
        <v>70</v>
      </c>
      <c r="O1" s="27" t="s">
        <v>78</v>
      </c>
      <c r="P1" s="27" t="s">
        <v>73</v>
      </c>
      <c r="Q1" s="27" t="s">
        <v>188</v>
      </c>
      <c r="R1" s="27" t="s">
        <v>70</v>
      </c>
      <c r="S1" s="27" t="s">
        <v>223</v>
      </c>
      <c r="T1" s="27" t="s">
        <v>73</v>
      </c>
      <c r="U1" s="27" t="s">
        <v>188</v>
      </c>
      <c r="V1" s="27" t="s">
        <v>70</v>
      </c>
      <c r="W1" s="27" t="s">
        <v>79</v>
      </c>
      <c r="X1" s="27" t="s">
        <v>73</v>
      </c>
      <c r="Y1" s="27" t="s">
        <v>188</v>
      </c>
      <c r="Z1" s="27" t="s">
        <v>80</v>
      </c>
      <c r="AA1" s="31" t="s">
        <v>70</v>
      </c>
      <c r="AB1" s="31" t="s">
        <v>73</v>
      </c>
      <c r="AC1" s="27" t="s">
        <v>188</v>
      </c>
      <c r="AD1" s="31" t="s">
        <v>234</v>
      </c>
      <c r="AE1" s="27" t="s">
        <v>70</v>
      </c>
      <c r="AF1" s="27" t="s">
        <v>73</v>
      </c>
      <c r="AG1" s="27" t="s">
        <v>188</v>
      </c>
      <c r="AH1" s="27" t="s">
        <v>70</v>
      </c>
      <c r="AI1" s="27" t="s">
        <v>82</v>
      </c>
      <c r="AJ1" s="27" t="s">
        <v>73</v>
      </c>
      <c r="AK1" s="27" t="s">
        <v>188</v>
      </c>
      <c r="AL1" s="27" t="s">
        <v>204</v>
      </c>
      <c r="AM1" s="27" t="s">
        <v>70</v>
      </c>
      <c r="AN1" s="27" t="s">
        <v>83</v>
      </c>
      <c r="AO1" s="27" t="s">
        <v>73</v>
      </c>
      <c r="AP1" s="27" t="s">
        <v>188</v>
      </c>
      <c r="AQ1" s="27"/>
      <c r="AR1" s="27" t="s">
        <v>85</v>
      </c>
    </row>
    <row r="2" spans="1:44" s="2" customFormat="1" ht="18.75" x14ac:dyDescent="0.25">
      <c r="A2" s="82" t="s">
        <v>226</v>
      </c>
      <c r="B2" s="82"/>
      <c r="C2" s="82"/>
      <c r="D2" s="76"/>
      <c r="E2" s="76"/>
      <c r="F2" s="76"/>
      <c r="G2" s="76"/>
      <c r="H2" s="76"/>
      <c r="I2" s="76"/>
      <c r="J2" s="76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</row>
    <row r="3" spans="1:44" x14ac:dyDescent="0.25">
      <c r="A3" s="13" t="s">
        <v>86</v>
      </c>
      <c r="B3" s="13">
        <v>9500</v>
      </c>
      <c r="C3" s="14"/>
      <c r="D3" s="15">
        <v>46240</v>
      </c>
      <c r="E3" s="14" t="s">
        <v>188</v>
      </c>
      <c r="F3" s="15">
        <v>46248</v>
      </c>
      <c r="G3" s="14" t="s">
        <v>25</v>
      </c>
      <c r="H3" s="14">
        <v>2000</v>
      </c>
      <c r="I3" s="14" t="s">
        <v>188</v>
      </c>
      <c r="J3" s="15">
        <v>46248</v>
      </c>
      <c r="K3" s="16" t="s">
        <v>87</v>
      </c>
      <c r="L3" s="16">
        <v>64700</v>
      </c>
      <c r="M3" s="16" t="s">
        <v>188</v>
      </c>
      <c r="N3" s="17">
        <v>46251</v>
      </c>
      <c r="O3" s="16" t="s">
        <v>88</v>
      </c>
      <c r="P3" s="16">
        <v>4310</v>
      </c>
      <c r="Q3" s="16" t="s">
        <v>188</v>
      </c>
      <c r="R3" s="17">
        <v>46242</v>
      </c>
      <c r="S3" s="16" t="s">
        <v>224</v>
      </c>
      <c r="T3" s="16">
        <v>35770</v>
      </c>
      <c r="U3" s="16" t="s">
        <v>188</v>
      </c>
      <c r="V3" s="17">
        <v>46242</v>
      </c>
      <c r="W3" s="16" t="s">
        <v>342</v>
      </c>
      <c r="X3" s="16">
        <v>15000</v>
      </c>
      <c r="Y3" s="16" t="s">
        <v>188</v>
      </c>
      <c r="Z3" s="16" t="s">
        <v>189</v>
      </c>
      <c r="AA3" s="17">
        <v>46235</v>
      </c>
      <c r="AB3" s="16">
        <v>4300</v>
      </c>
      <c r="AC3" s="16"/>
      <c r="AD3" s="16" t="s">
        <v>88</v>
      </c>
      <c r="AE3" s="16"/>
      <c r="AF3" s="16"/>
      <c r="AG3" s="16"/>
      <c r="AH3" s="17">
        <v>46245</v>
      </c>
      <c r="AI3" s="16" t="s">
        <v>89</v>
      </c>
      <c r="AJ3" s="16">
        <v>3000</v>
      </c>
      <c r="AK3" s="16" t="s">
        <v>188</v>
      </c>
      <c r="AL3" s="16"/>
      <c r="AM3" s="16"/>
      <c r="AN3" s="16" t="s">
        <v>90</v>
      </c>
      <c r="AO3" s="16">
        <v>3500</v>
      </c>
      <c r="AP3" s="16"/>
      <c r="AQ3" s="18">
        <v>344883</v>
      </c>
      <c r="AR3" s="16" t="s">
        <v>91</v>
      </c>
    </row>
    <row r="4" spans="1:44" x14ac:dyDescent="0.25">
      <c r="A4" s="13" t="s">
        <v>92</v>
      </c>
      <c r="B4" s="13">
        <v>10500</v>
      </c>
      <c r="C4" s="14" t="s">
        <v>93</v>
      </c>
      <c r="D4" s="15">
        <v>46240</v>
      </c>
      <c r="E4" s="14" t="s">
        <v>188</v>
      </c>
      <c r="F4" s="15">
        <v>46254</v>
      </c>
      <c r="G4" s="14" t="s">
        <v>259</v>
      </c>
      <c r="H4" s="14">
        <v>600</v>
      </c>
      <c r="I4" s="14" t="s">
        <v>188</v>
      </c>
      <c r="J4" s="15">
        <v>46248</v>
      </c>
      <c r="K4" s="16" t="s">
        <v>94</v>
      </c>
      <c r="L4" s="16">
        <v>78280</v>
      </c>
      <c r="M4" s="16" t="s">
        <v>188</v>
      </c>
      <c r="N4" s="17">
        <v>46251</v>
      </c>
      <c r="O4" s="16" t="s">
        <v>95</v>
      </c>
      <c r="P4" s="16">
        <v>16730</v>
      </c>
      <c r="Q4" s="16" t="s">
        <v>188</v>
      </c>
      <c r="R4" s="17">
        <v>46248</v>
      </c>
      <c r="S4" s="16" t="s">
        <v>224</v>
      </c>
      <c r="T4" s="16">
        <v>28300</v>
      </c>
      <c r="U4" s="16" t="s">
        <v>188</v>
      </c>
      <c r="V4" s="17">
        <v>46248</v>
      </c>
      <c r="W4" s="16" t="s">
        <v>342</v>
      </c>
      <c r="X4" s="16">
        <v>15000</v>
      </c>
      <c r="Y4" s="16" t="s">
        <v>188</v>
      </c>
      <c r="Z4" s="16"/>
      <c r="AA4" s="16"/>
      <c r="AB4" s="16"/>
      <c r="AC4" s="16"/>
      <c r="AD4" s="16" t="s">
        <v>96</v>
      </c>
      <c r="AE4" s="16"/>
      <c r="AF4" s="16"/>
      <c r="AG4" s="16"/>
      <c r="AH4" s="17">
        <v>46245</v>
      </c>
      <c r="AI4" s="16" t="s">
        <v>97</v>
      </c>
      <c r="AJ4" s="16">
        <v>9000</v>
      </c>
      <c r="AK4" s="16" t="s">
        <v>188</v>
      </c>
      <c r="AL4" s="16"/>
      <c r="AM4" s="16"/>
      <c r="AN4" s="16" t="s">
        <v>98</v>
      </c>
      <c r="AO4" s="16">
        <v>4000</v>
      </c>
      <c r="AP4" s="16"/>
      <c r="AQ4" s="19">
        <v>164240</v>
      </c>
      <c r="AR4" s="16" t="s">
        <v>99</v>
      </c>
    </row>
    <row r="5" spans="1:44" x14ac:dyDescent="0.25">
      <c r="A5" s="13" t="s">
        <v>100</v>
      </c>
      <c r="B5" s="13">
        <v>10500</v>
      </c>
      <c r="C5" s="14"/>
      <c r="D5" s="15">
        <v>46240</v>
      </c>
      <c r="E5" s="14" t="s">
        <v>188</v>
      </c>
      <c r="F5" s="14"/>
      <c r="G5" s="14"/>
      <c r="H5" s="14"/>
      <c r="I5" s="14"/>
      <c r="J5" s="15">
        <v>46251</v>
      </c>
      <c r="K5" s="16" t="s">
        <v>101</v>
      </c>
      <c r="L5" s="16">
        <v>14640</v>
      </c>
      <c r="M5" s="16" t="s">
        <v>188</v>
      </c>
      <c r="N5" s="17">
        <v>46251</v>
      </c>
      <c r="O5" s="16" t="s">
        <v>102</v>
      </c>
      <c r="P5" s="16">
        <v>18810</v>
      </c>
      <c r="Q5" s="16" t="s">
        <v>188</v>
      </c>
      <c r="R5" s="17">
        <v>46256</v>
      </c>
      <c r="S5" s="16" t="s">
        <v>224</v>
      </c>
      <c r="T5" s="16">
        <v>38200</v>
      </c>
      <c r="U5" s="16" t="s">
        <v>188</v>
      </c>
      <c r="V5" s="17">
        <v>46256</v>
      </c>
      <c r="W5" s="16" t="s">
        <v>342</v>
      </c>
      <c r="X5" s="16">
        <v>15000</v>
      </c>
      <c r="Y5" s="16" t="s">
        <v>188</v>
      </c>
      <c r="Z5" s="16"/>
      <c r="AA5" s="16"/>
      <c r="AB5" s="16"/>
      <c r="AC5" s="16"/>
      <c r="AD5" s="16" t="s">
        <v>103</v>
      </c>
      <c r="AE5" s="16"/>
      <c r="AF5" s="16"/>
      <c r="AG5" s="16"/>
      <c r="AH5" s="16"/>
      <c r="AI5" s="16" t="s">
        <v>104</v>
      </c>
      <c r="AJ5" s="16"/>
      <c r="AK5" s="16"/>
      <c r="AL5" s="17">
        <v>46239</v>
      </c>
      <c r="AM5" s="16" t="s">
        <v>12</v>
      </c>
      <c r="AN5" s="16" t="s">
        <v>205</v>
      </c>
      <c r="AO5" s="16">
        <v>4000</v>
      </c>
      <c r="AP5" s="16"/>
      <c r="AQ5" s="16">
        <v>52000</v>
      </c>
      <c r="AR5" s="16" t="s">
        <v>105</v>
      </c>
    </row>
    <row r="6" spans="1:44" x14ac:dyDescent="0.25">
      <c r="A6" s="13" t="s">
        <v>25</v>
      </c>
      <c r="B6" s="13">
        <v>12500</v>
      </c>
      <c r="C6" s="14"/>
      <c r="D6" s="15">
        <v>46235</v>
      </c>
      <c r="E6" s="14" t="s">
        <v>188</v>
      </c>
      <c r="F6" s="14"/>
      <c r="G6" s="14"/>
      <c r="H6" s="14"/>
      <c r="I6" s="14"/>
      <c r="J6" s="15">
        <v>46251</v>
      </c>
      <c r="K6" s="16" t="s">
        <v>106</v>
      </c>
      <c r="L6" s="16">
        <v>6840</v>
      </c>
      <c r="M6" s="16" t="s">
        <v>188</v>
      </c>
      <c r="N6" s="17">
        <v>46251</v>
      </c>
      <c r="O6" s="16" t="s">
        <v>107</v>
      </c>
      <c r="P6" s="16">
        <v>7890</v>
      </c>
      <c r="Q6" s="16" t="s">
        <v>188</v>
      </c>
      <c r="R6" s="17">
        <v>46263</v>
      </c>
      <c r="S6" s="16" t="s">
        <v>224</v>
      </c>
      <c r="T6" s="16">
        <v>33000</v>
      </c>
      <c r="U6" s="16" t="s">
        <v>188</v>
      </c>
      <c r="V6" s="17">
        <v>46263</v>
      </c>
      <c r="W6" s="16" t="s">
        <v>342</v>
      </c>
      <c r="X6" s="16">
        <v>15000</v>
      </c>
      <c r="Y6" s="16" t="s">
        <v>188</v>
      </c>
      <c r="Z6" s="16"/>
      <c r="AA6" s="16"/>
      <c r="AB6" s="16"/>
      <c r="AC6" s="16"/>
      <c r="AD6" s="16" t="s">
        <v>106</v>
      </c>
      <c r="AE6" s="16"/>
      <c r="AF6" s="16"/>
      <c r="AG6" s="16"/>
      <c r="AH6" s="17">
        <v>49901</v>
      </c>
      <c r="AI6" s="16" t="s">
        <v>246</v>
      </c>
      <c r="AJ6" s="16">
        <v>5000</v>
      </c>
      <c r="AK6" s="16" t="s">
        <v>188</v>
      </c>
      <c r="AL6" s="16"/>
      <c r="AM6" s="16"/>
      <c r="AN6" s="16"/>
      <c r="AO6" s="16"/>
      <c r="AP6" s="16"/>
      <c r="AQ6" s="16">
        <f>SUM(AQ3:AQ5)</f>
        <v>561123</v>
      </c>
      <c r="AR6" s="16" t="s">
        <v>108</v>
      </c>
    </row>
    <row r="7" spans="1:44" x14ac:dyDescent="0.25">
      <c r="A7" s="19" t="s">
        <v>109</v>
      </c>
      <c r="B7" s="19">
        <v>8500</v>
      </c>
      <c r="C7" s="14" t="s">
        <v>110</v>
      </c>
      <c r="D7" s="15">
        <v>46239</v>
      </c>
      <c r="E7" s="14" t="s">
        <v>188</v>
      </c>
      <c r="F7" s="14"/>
      <c r="G7" s="14"/>
      <c r="H7" s="14"/>
      <c r="I7" s="14"/>
      <c r="J7" s="14"/>
      <c r="K7" s="16" t="s">
        <v>111</v>
      </c>
      <c r="L7" s="16"/>
      <c r="M7" s="16"/>
      <c r="N7" s="16"/>
      <c r="O7" s="49" t="s">
        <v>232</v>
      </c>
      <c r="P7" s="49">
        <f>SUM(P3:P6)</f>
        <v>47740</v>
      </c>
      <c r="Q7" s="50"/>
      <c r="R7" s="50"/>
      <c r="S7" s="50"/>
      <c r="T7" s="50"/>
      <c r="U7" s="50"/>
      <c r="V7" s="50"/>
      <c r="W7" s="50"/>
      <c r="X7" s="16"/>
      <c r="Y7" s="16"/>
      <c r="Z7" s="16"/>
      <c r="AA7" s="16"/>
      <c r="AB7" s="16"/>
      <c r="AC7" s="16"/>
      <c r="AD7" s="16" t="s">
        <v>112</v>
      </c>
      <c r="AE7" s="17">
        <v>46235</v>
      </c>
      <c r="AF7" s="16">
        <v>1000</v>
      </c>
      <c r="AG7" s="16" t="s">
        <v>188</v>
      </c>
      <c r="AH7" s="17">
        <v>46251</v>
      </c>
      <c r="AI7" s="16" t="s">
        <v>246</v>
      </c>
      <c r="AJ7" s="16">
        <v>5000</v>
      </c>
      <c r="AK7" s="16" t="s">
        <v>188</v>
      </c>
      <c r="AL7" s="16"/>
      <c r="AM7" s="16"/>
      <c r="AN7" s="16"/>
      <c r="AO7" s="16"/>
      <c r="AP7" s="16"/>
      <c r="AQ7" s="16"/>
      <c r="AR7" s="16" t="s">
        <v>107</v>
      </c>
    </row>
    <row r="8" spans="1:44" x14ac:dyDescent="0.25">
      <c r="A8" s="19" t="s">
        <v>113</v>
      </c>
      <c r="B8" s="19">
        <v>3000</v>
      </c>
      <c r="C8" s="14"/>
      <c r="D8" s="15">
        <v>49892</v>
      </c>
      <c r="E8" s="14" t="s">
        <v>188</v>
      </c>
      <c r="F8" s="14"/>
      <c r="G8" s="14"/>
      <c r="H8" s="14"/>
      <c r="I8" s="14"/>
      <c r="J8" s="14"/>
      <c r="K8" s="49" t="s">
        <v>232</v>
      </c>
      <c r="L8" s="48">
        <f>SUM(L3:L7)</f>
        <v>164460</v>
      </c>
      <c r="M8" s="50"/>
      <c r="N8" s="50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 t="s">
        <v>114</v>
      </c>
      <c r="AE8" s="16"/>
      <c r="AF8" s="16"/>
      <c r="AG8" s="16"/>
      <c r="AH8" s="17">
        <v>46259</v>
      </c>
      <c r="AI8" s="16" t="s">
        <v>269</v>
      </c>
      <c r="AJ8" s="16">
        <v>3000</v>
      </c>
      <c r="AK8" s="16" t="s">
        <v>188</v>
      </c>
      <c r="AL8" s="16"/>
      <c r="AM8" s="16"/>
      <c r="AN8" s="16"/>
      <c r="AO8" s="16"/>
      <c r="AP8" s="16"/>
      <c r="AQ8" s="16"/>
      <c r="AR8" s="16" t="s">
        <v>115</v>
      </c>
    </row>
    <row r="9" spans="1:44" x14ac:dyDescent="0.25">
      <c r="A9" s="20" t="s">
        <v>116</v>
      </c>
      <c r="B9" s="20">
        <v>14000</v>
      </c>
      <c r="C9" s="14"/>
      <c r="D9" s="15">
        <v>46235</v>
      </c>
      <c r="E9" s="14" t="s">
        <v>188</v>
      </c>
      <c r="F9" s="14"/>
      <c r="G9" s="14"/>
      <c r="H9" s="14"/>
      <c r="I9" s="14"/>
      <c r="J9" s="14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21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</row>
    <row r="10" spans="1:44" x14ac:dyDescent="0.25">
      <c r="A10" s="20" t="s">
        <v>117</v>
      </c>
      <c r="B10" s="20">
        <v>13000</v>
      </c>
      <c r="C10" s="14" t="s">
        <v>118</v>
      </c>
      <c r="D10" s="15">
        <v>46235</v>
      </c>
      <c r="E10" s="14" t="s">
        <v>188</v>
      </c>
      <c r="F10" s="14"/>
      <c r="G10" s="14"/>
      <c r="H10" s="14"/>
      <c r="I10" s="14"/>
      <c r="J10" s="14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 t="s">
        <v>112</v>
      </c>
      <c r="AE10" s="17">
        <v>46241</v>
      </c>
      <c r="AF10" s="16">
        <v>1500</v>
      </c>
      <c r="AG10" s="16" t="s">
        <v>188</v>
      </c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</row>
    <row r="11" spans="1:44" x14ac:dyDescent="0.25">
      <c r="A11" s="20" t="s">
        <v>119</v>
      </c>
      <c r="B11" s="20">
        <v>10500</v>
      </c>
      <c r="C11" s="14"/>
      <c r="D11" s="15">
        <v>46239</v>
      </c>
      <c r="E11" s="14" t="s">
        <v>188</v>
      </c>
      <c r="F11" s="14"/>
      <c r="G11" s="14"/>
      <c r="H11" s="14"/>
      <c r="I11" s="14"/>
      <c r="J11" s="14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 t="s">
        <v>112</v>
      </c>
      <c r="AE11" s="17">
        <v>46248</v>
      </c>
      <c r="AF11" s="16">
        <v>1500</v>
      </c>
      <c r="AG11" s="16" t="s">
        <v>188</v>
      </c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</row>
    <row r="12" spans="1:44" x14ac:dyDescent="0.25">
      <c r="A12" s="22" t="s">
        <v>120</v>
      </c>
      <c r="B12" s="22">
        <v>10500</v>
      </c>
      <c r="C12" s="14" t="s">
        <v>8</v>
      </c>
      <c r="D12" s="15">
        <v>46245</v>
      </c>
      <c r="E12" s="14" t="s">
        <v>188</v>
      </c>
      <c r="F12" s="14"/>
      <c r="G12" s="14"/>
      <c r="H12" s="14"/>
      <c r="I12" s="14"/>
      <c r="J12" s="14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 t="s">
        <v>112</v>
      </c>
      <c r="AE12" s="17">
        <v>46251</v>
      </c>
      <c r="AF12" s="16">
        <v>1500</v>
      </c>
      <c r="AG12" s="16" t="s">
        <v>188</v>
      </c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</row>
    <row r="13" spans="1:44" x14ac:dyDescent="0.25">
      <c r="A13" s="23" t="s">
        <v>121</v>
      </c>
      <c r="B13" s="23">
        <v>9000</v>
      </c>
      <c r="C13" s="14"/>
      <c r="D13" s="15">
        <v>46239</v>
      </c>
      <c r="E13" s="14" t="s">
        <v>188</v>
      </c>
      <c r="F13" s="14"/>
      <c r="G13" s="14"/>
      <c r="H13" s="14"/>
      <c r="I13" s="14"/>
      <c r="J13" s="14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 t="s">
        <v>112</v>
      </c>
      <c r="AE13" s="17">
        <v>46254</v>
      </c>
      <c r="AF13" s="16">
        <v>1000</v>
      </c>
      <c r="AG13" s="16" t="s">
        <v>188</v>
      </c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</row>
    <row r="14" spans="1:44" x14ac:dyDescent="0.25">
      <c r="A14" s="23" t="s">
        <v>122</v>
      </c>
      <c r="B14" s="23">
        <v>8750</v>
      </c>
      <c r="C14" s="14">
        <v>56</v>
      </c>
      <c r="D14" s="15">
        <v>46239</v>
      </c>
      <c r="E14" s="14" t="s">
        <v>188</v>
      </c>
      <c r="F14" s="14"/>
      <c r="G14" s="14"/>
      <c r="H14" s="14"/>
      <c r="I14" s="14"/>
      <c r="J14" s="14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</row>
    <row r="15" spans="1:44" x14ac:dyDescent="0.25">
      <c r="A15" s="24" t="s">
        <v>123</v>
      </c>
      <c r="B15" s="24">
        <v>5000</v>
      </c>
      <c r="C15" s="14" t="s">
        <v>12</v>
      </c>
      <c r="D15" s="15">
        <v>46244</v>
      </c>
      <c r="E15" s="14" t="s">
        <v>188</v>
      </c>
      <c r="F15" s="14"/>
      <c r="G15" s="14"/>
      <c r="H15" s="14"/>
      <c r="I15" s="14"/>
      <c r="J15" s="14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</row>
    <row r="16" spans="1:44" x14ac:dyDescent="0.25">
      <c r="A16" s="24" t="s">
        <v>124</v>
      </c>
      <c r="B16" s="24">
        <v>10000</v>
      </c>
      <c r="C16" s="14" t="s">
        <v>12</v>
      </c>
      <c r="D16" s="15">
        <v>46244</v>
      </c>
      <c r="E16" s="14" t="s">
        <v>188</v>
      </c>
      <c r="F16" s="14"/>
      <c r="G16" s="14"/>
      <c r="H16" s="14"/>
      <c r="I16" s="14"/>
      <c r="J16" s="14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</row>
    <row r="17" spans="1:44" x14ac:dyDescent="0.25">
      <c r="A17" s="16" t="s">
        <v>125</v>
      </c>
      <c r="B17" s="16">
        <v>11000</v>
      </c>
      <c r="C17" s="14" t="s">
        <v>126</v>
      </c>
      <c r="D17" s="15">
        <v>46235</v>
      </c>
      <c r="E17" s="14" t="s">
        <v>188</v>
      </c>
      <c r="F17" s="14"/>
      <c r="G17" s="14"/>
      <c r="H17" s="14"/>
      <c r="I17" s="14"/>
      <c r="J17" s="14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</row>
    <row r="18" spans="1:44" x14ac:dyDescent="0.25">
      <c r="A18" s="16" t="s">
        <v>127</v>
      </c>
      <c r="B18" s="16">
        <v>5000</v>
      </c>
      <c r="C18" s="14" t="s">
        <v>126</v>
      </c>
      <c r="D18" s="15">
        <v>46239</v>
      </c>
      <c r="E18" s="14" t="s">
        <v>188</v>
      </c>
      <c r="F18" s="14"/>
      <c r="G18" s="14"/>
      <c r="H18" s="14"/>
      <c r="I18" s="14"/>
      <c r="J18" s="14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</row>
    <row r="19" spans="1:44" x14ac:dyDescent="0.25">
      <c r="A19" s="16" t="s">
        <v>128</v>
      </c>
      <c r="B19" s="16">
        <v>11000</v>
      </c>
      <c r="C19" s="14" t="s">
        <v>126</v>
      </c>
      <c r="D19" s="25">
        <v>46235</v>
      </c>
      <c r="E19" s="14" t="s">
        <v>188</v>
      </c>
      <c r="F19" s="14"/>
      <c r="G19" s="14"/>
      <c r="H19" s="14"/>
      <c r="I19" s="14"/>
      <c r="J19" s="14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</row>
    <row r="20" spans="1:44" x14ac:dyDescent="0.25">
      <c r="A20" s="16" t="s">
        <v>129</v>
      </c>
      <c r="B20" s="16">
        <v>50000</v>
      </c>
      <c r="C20" s="14">
        <v>50000</v>
      </c>
      <c r="D20" s="15">
        <v>46265</v>
      </c>
      <c r="E20" s="14" t="s">
        <v>188</v>
      </c>
      <c r="F20" s="14"/>
      <c r="G20" s="14"/>
      <c r="H20" s="14"/>
      <c r="I20" s="14"/>
      <c r="J20" s="14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</row>
    <row r="21" spans="1:44" x14ac:dyDescent="0.25">
      <c r="A21" s="16" t="s">
        <v>264</v>
      </c>
      <c r="B21" s="16">
        <v>750</v>
      </c>
      <c r="C21" s="14"/>
      <c r="D21" s="15">
        <v>46258</v>
      </c>
      <c r="E21" s="14" t="s">
        <v>188</v>
      </c>
      <c r="F21" s="14"/>
      <c r="G21" s="14"/>
      <c r="H21" s="14"/>
      <c r="I21" s="14"/>
      <c r="J21" s="14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</row>
    <row r="22" spans="1:44" x14ac:dyDescent="0.25">
      <c r="A22" s="16" t="s">
        <v>130</v>
      </c>
      <c r="B22" s="26">
        <v>1600</v>
      </c>
      <c r="C22" s="14"/>
      <c r="D22" s="15">
        <v>46242</v>
      </c>
      <c r="E22" s="14" t="s">
        <v>188</v>
      </c>
      <c r="F22" s="14"/>
      <c r="G22" s="14"/>
      <c r="H22" s="14"/>
      <c r="I22" s="14"/>
      <c r="J22" s="14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</row>
    <row r="23" spans="1:44" x14ac:dyDescent="0.25">
      <c r="A23" s="16" t="s">
        <v>131</v>
      </c>
      <c r="B23" s="16">
        <v>23000</v>
      </c>
      <c r="C23" s="14"/>
      <c r="D23" s="15">
        <v>46235</v>
      </c>
      <c r="E23" s="14" t="s">
        <v>188</v>
      </c>
      <c r="F23" s="14"/>
      <c r="G23" s="14"/>
      <c r="H23" s="14"/>
      <c r="I23" s="14"/>
      <c r="J23" s="14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</row>
    <row r="24" spans="1:44" x14ac:dyDescent="0.25">
      <c r="A24" s="16" t="s">
        <v>222</v>
      </c>
      <c r="B24" s="16">
        <v>2500</v>
      </c>
      <c r="C24" s="14" t="s">
        <v>253</v>
      </c>
      <c r="D24" s="15">
        <v>46235</v>
      </c>
      <c r="E24" s="14" t="s">
        <v>188</v>
      </c>
      <c r="F24" s="14"/>
      <c r="G24" s="14"/>
      <c r="H24" s="14"/>
      <c r="I24" s="14"/>
      <c r="J24" s="14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</row>
    <row r="25" spans="1:44" x14ac:dyDescent="0.25">
      <c r="A25" s="16" t="s">
        <v>222</v>
      </c>
      <c r="B25" s="16">
        <v>2500</v>
      </c>
      <c r="C25" s="14" t="s">
        <v>254</v>
      </c>
      <c r="D25" s="15">
        <v>46242</v>
      </c>
      <c r="E25" s="14"/>
      <c r="F25" s="14"/>
      <c r="G25" s="14"/>
      <c r="H25" s="14"/>
      <c r="I25" s="14"/>
      <c r="J25" s="14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</row>
    <row r="26" spans="1:44" x14ac:dyDescent="0.25">
      <c r="A26" s="16" t="s">
        <v>222</v>
      </c>
      <c r="B26" s="16">
        <v>2500</v>
      </c>
      <c r="C26" s="14" t="s">
        <v>255</v>
      </c>
      <c r="D26" s="15">
        <v>46249</v>
      </c>
      <c r="E26" s="14"/>
      <c r="F26" s="14"/>
      <c r="G26" s="14"/>
      <c r="H26" s="14"/>
      <c r="I26" s="14"/>
      <c r="J26" s="14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</row>
    <row r="27" spans="1:44" x14ac:dyDescent="0.25">
      <c r="A27" s="16" t="s">
        <v>222</v>
      </c>
      <c r="B27" s="16">
        <v>2500</v>
      </c>
      <c r="C27" s="14" t="s">
        <v>256</v>
      </c>
      <c r="D27" s="15">
        <v>46256</v>
      </c>
      <c r="E27" s="14"/>
      <c r="F27" s="14"/>
      <c r="G27" s="14"/>
      <c r="H27" s="14"/>
      <c r="I27" s="14"/>
      <c r="J27" s="14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</row>
    <row r="28" spans="1:44" x14ac:dyDescent="0.25">
      <c r="A28" s="16" t="s">
        <v>222</v>
      </c>
      <c r="B28" s="16">
        <v>2500</v>
      </c>
      <c r="C28" s="14" t="s">
        <v>272</v>
      </c>
      <c r="D28" s="15">
        <v>46263</v>
      </c>
      <c r="E28" s="14" t="s">
        <v>188</v>
      </c>
      <c r="F28" s="14"/>
      <c r="G28" s="14"/>
      <c r="H28" s="14"/>
      <c r="I28" s="14"/>
      <c r="J28" s="14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</row>
    <row r="29" spans="1:44" x14ac:dyDescent="0.25">
      <c r="A29" s="16" t="s">
        <v>190</v>
      </c>
      <c r="B29" s="16">
        <v>10500</v>
      </c>
      <c r="C29" s="14"/>
      <c r="D29" s="15">
        <v>46235</v>
      </c>
      <c r="E29" s="14" t="s">
        <v>188</v>
      </c>
      <c r="F29" s="14"/>
      <c r="G29" s="14"/>
      <c r="H29" s="14"/>
      <c r="I29" s="14"/>
      <c r="J29" s="14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</row>
    <row r="30" spans="1:44" x14ac:dyDescent="0.25">
      <c r="A30" s="16" t="s">
        <v>220</v>
      </c>
      <c r="B30" s="16">
        <v>21000</v>
      </c>
      <c r="C30" s="14" t="s">
        <v>8</v>
      </c>
      <c r="D30" s="15">
        <v>46253</v>
      </c>
      <c r="E30" s="14" t="s">
        <v>188</v>
      </c>
      <c r="F30" s="14"/>
      <c r="G30" s="14"/>
      <c r="H30" s="14"/>
      <c r="I30" s="14"/>
      <c r="J30" s="14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</row>
    <row r="31" spans="1:44" x14ac:dyDescent="0.25">
      <c r="A31" s="16" t="s">
        <v>221</v>
      </c>
      <c r="B31" s="16">
        <v>5000</v>
      </c>
      <c r="C31" s="14" t="s">
        <v>8</v>
      </c>
      <c r="D31" s="15">
        <v>46253</v>
      </c>
      <c r="E31" s="14" t="s">
        <v>188</v>
      </c>
      <c r="F31" s="14"/>
      <c r="G31" s="14"/>
      <c r="H31" s="14"/>
      <c r="I31" s="14"/>
      <c r="J31" s="14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</row>
    <row r="32" spans="1:44" x14ac:dyDescent="0.25">
      <c r="A32" s="16" t="s">
        <v>235</v>
      </c>
      <c r="B32" s="16">
        <v>12000</v>
      </c>
      <c r="C32" s="14" t="s">
        <v>12</v>
      </c>
      <c r="D32" s="15">
        <v>46247</v>
      </c>
      <c r="E32" s="14" t="s">
        <v>188</v>
      </c>
      <c r="F32" s="14"/>
      <c r="G32" s="14"/>
      <c r="H32" s="14"/>
      <c r="I32" s="14"/>
      <c r="J32" s="14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</row>
    <row r="33" spans="1:44" x14ac:dyDescent="0.25">
      <c r="A33" s="16" t="s">
        <v>232</v>
      </c>
      <c r="B33" s="16">
        <f>SUM(B3:B32)</f>
        <v>298600</v>
      </c>
      <c r="C33" s="14"/>
      <c r="D33" s="14"/>
      <c r="E33" s="14"/>
      <c r="F33" s="14"/>
      <c r="G33" s="14"/>
      <c r="H33" s="14"/>
      <c r="I33" s="14"/>
      <c r="J33" s="14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</row>
    <row r="34" spans="1:44" x14ac:dyDescent="0.25">
      <c r="C34"/>
      <c r="D34"/>
      <c r="E34"/>
      <c r="F34"/>
      <c r="G34"/>
      <c r="H34"/>
      <c r="I34"/>
      <c r="J34"/>
    </row>
    <row r="35" spans="1:44" ht="26.1" customHeight="1" x14ac:dyDescent="0.25">
      <c r="C35"/>
      <c r="D35"/>
      <c r="E35"/>
      <c r="F35"/>
      <c r="G35"/>
      <c r="H35"/>
      <c r="I35"/>
      <c r="J35"/>
    </row>
    <row r="36" spans="1:44" ht="26.1" customHeight="1" x14ac:dyDescent="0.25">
      <c r="A36" s="83" t="s">
        <v>360</v>
      </c>
      <c r="B36" s="83"/>
      <c r="C36" s="83"/>
      <c r="D36" s="83"/>
      <c r="E36" s="83"/>
      <c r="F36" s="83"/>
      <c r="G36"/>
      <c r="H36"/>
      <c r="I36"/>
      <c r="J36"/>
    </row>
    <row r="37" spans="1:44" ht="24" customHeight="1" x14ac:dyDescent="0.25">
      <c r="A37" s="84" t="s">
        <v>233</v>
      </c>
      <c r="B37" s="87" t="s">
        <v>242</v>
      </c>
      <c r="C37" s="88" t="s">
        <v>184</v>
      </c>
      <c r="D37" s="89" t="s">
        <v>364</v>
      </c>
      <c r="E37" s="91" t="s">
        <v>231</v>
      </c>
      <c r="F37" s="93" t="s">
        <v>230</v>
      </c>
      <c r="G37"/>
      <c r="H37"/>
      <c r="I37"/>
      <c r="J37"/>
    </row>
    <row r="38" spans="1:44" ht="32.1" customHeight="1" x14ac:dyDescent="0.25">
      <c r="A38" s="85">
        <v>829100</v>
      </c>
      <c r="B38" s="85">
        <v>114242</v>
      </c>
      <c r="C38" s="85">
        <v>732670</v>
      </c>
      <c r="D38" s="90">
        <v>0</v>
      </c>
      <c r="E38" s="92">
        <v>235500</v>
      </c>
      <c r="F38" s="90">
        <v>-17812</v>
      </c>
      <c r="G38"/>
      <c r="H38"/>
      <c r="I38"/>
      <c r="J38"/>
    </row>
    <row r="39" spans="1:44" ht="18" customHeight="1" x14ac:dyDescent="0.25">
      <c r="A39" s="86" t="s">
        <v>361</v>
      </c>
      <c r="B39" s="86" t="s">
        <v>362</v>
      </c>
      <c r="C39" s="86" t="s">
        <v>363</v>
      </c>
      <c r="D39" s="86" t="s">
        <v>365</v>
      </c>
      <c r="E39" s="86" t="s">
        <v>366</v>
      </c>
      <c r="F39" s="86" t="s">
        <v>367</v>
      </c>
      <c r="G39"/>
      <c r="H39"/>
      <c r="I39"/>
      <c r="J39"/>
    </row>
    <row r="40" spans="1:44" x14ac:dyDescent="0.25">
      <c r="C40"/>
      <c r="D40"/>
      <c r="E40"/>
      <c r="F40"/>
      <c r="G40"/>
      <c r="H40"/>
      <c r="I40"/>
      <c r="J40"/>
    </row>
    <row r="41" spans="1:44" x14ac:dyDescent="0.25">
      <c r="C41"/>
      <c r="D41"/>
      <c r="E41"/>
      <c r="F41"/>
      <c r="G41"/>
      <c r="H41"/>
      <c r="I41"/>
      <c r="J41"/>
    </row>
    <row r="42" spans="1:44" x14ac:dyDescent="0.25">
      <c r="C42"/>
      <c r="D42"/>
      <c r="E42"/>
      <c r="F42"/>
      <c r="G42"/>
      <c r="H42"/>
      <c r="I42"/>
      <c r="J42"/>
    </row>
    <row r="43" spans="1:44" x14ac:dyDescent="0.25">
      <c r="C43"/>
      <c r="D43"/>
      <c r="E43"/>
      <c r="F43"/>
      <c r="G43"/>
      <c r="H43"/>
      <c r="I43"/>
      <c r="J43"/>
    </row>
    <row r="44" spans="1:44" x14ac:dyDescent="0.25">
      <c r="C44"/>
      <c r="D44"/>
      <c r="E44"/>
      <c r="F44"/>
      <c r="G44"/>
      <c r="H44"/>
      <c r="I44"/>
      <c r="J44"/>
    </row>
    <row r="45" spans="1:44" x14ac:dyDescent="0.25">
      <c r="C45"/>
      <c r="D45"/>
      <c r="E45"/>
      <c r="F45"/>
      <c r="G45"/>
      <c r="H45"/>
      <c r="I45"/>
      <c r="J45"/>
    </row>
    <row r="46" spans="1:44" x14ac:dyDescent="0.25">
      <c r="C46"/>
      <c r="D46"/>
      <c r="E46"/>
      <c r="F46"/>
      <c r="G46"/>
      <c r="H46"/>
      <c r="I46"/>
      <c r="J46"/>
    </row>
    <row r="47" spans="1:44" x14ac:dyDescent="0.25">
      <c r="C47"/>
      <c r="D47"/>
      <c r="E47"/>
      <c r="F47"/>
      <c r="G47"/>
      <c r="H47"/>
      <c r="I47"/>
      <c r="J47"/>
    </row>
    <row r="48" spans="1:44" x14ac:dyDescent="0.25">
      <c r="C48"/>
      <c r="D48"/>
      <c r="E48"/>
      <c r="F48"/>
      <c r="G48"/>
      <c r="H48"/>
      <c r="I48"/>
      <c r="J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</sheetData>
  <autoFilter ref="A1:L1" xr:uid="{00000000-0009-0000-0000-000001000000}"/>
  <mergeCells count="2">
    <mergeCell ref="A2:C2"/>
    <mergeCell ref="A36:F36"/>
  </mergeCells>
  <phoneticPr fontId="11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R74"/>
  <sheetViews>
    <sheetView topLeftCell="H29" zoomScale="85" zoomScaleNormal="85" workbookViewId="0">
      <selection activeCell="H53" sqref="H53"/>
    </sheetView>
  </sheetViews>
  <sheetFormatPr defaultColWidth="11.42578125" defaultRowHeight="15" x14ac:dyDescent="0.25"/>
  <cols>
    <col min="3" max="5" width="10.85546875" style="4" customWidth="1"/>
    <col min="6" max="7" width="9.85546875" customWidth="1"/>
    <col min="8" max="8" width="12.42578125" customWidth="1"/>
    <col min="9" max="9" width="10.85546875" customWidth="1"/>
    <col min="10" max="16" width="12.42578125" customWidth="1"/>
    <col min="17" max="18" width="13.42578125" customWidth="1"/>
    <col min="19" max="19" width="12.42578125" customWidth="1"/>
    <col min="23" max="23" width="12.42578125" customWidth="1"/>
    <col min="27" max="27" width="12.42578125" customWidth="1"/>
    <col min="30" max="30" width="12.42578125" customWidth="1"/>
    <col min="33" max="33" width="11.42578125" customWidth="1"/>
    <col min="35" max="35" width="12.42578125" customWidth="1"/>
  </cols>
  <sheetData>
    <row r="1" spans="1:44" s="2" customFormat="1" x14ac:dyDescent="0.25">
      <c r="A1" s="27" t="s">
        <v>72</v>
      </c>
      <c r="B1" s="27" t="s">
        <v>76</v>
      </c>
      <c r="C1" s="27" t="s">
        <v>219</v>
      </c>
      <c r="D1" s="27" t="s">
        <v>70</v>
      </c>
      <c r="E1" s="27" t="s">
        <v>225</v>
      </c>
      <c r="F1" s="27" t="s">
        <v>77</v>
      </c>
      <c r="G1" s="27" t="s">
        <v>73</v>
      </c>
      <c r="H1" s="27" t="s">
        <v>188</v>
      </c>
      <c r="I1" s="27" t="s">
        <v>78</v>
      </c>
      <c r="J1" s="27" t="s">
        <v>73</v>
      </c>
      <c r="K1" s="27" t="s">
        <v>188</v>
      </c>
      <c r="L1" s="27" t="s">
        <v>70</v>
      </c>
      <c r="M1" s="27" t="s">
        <v>223</v>
      </c>
      <c r="N1" s="27" t="s">
        <v>73</v>
      </c>
      <c r="O1" s="27" t="s">
        <v>188</v>
      </c>
      <c r="P1" s="27" t="s">
        <v>70</v>
      </c>
      <c r="Q1" s="27" t="s">
        <v>79</v>
      </c>
      <c r="R1" s="27" t="s">
        <v>73</v>
      </c>
      <c r="S1" s="27" t="s">
        <v>188</v>
      </c>
      <c r="T1" s="27" t="s">
        <v>80</v>
      </c>
      <c r="U1" s="27" t="s">
        <v>70</v>
      </c>
      <c r="V1" s="27" t="s">
        <v>73</v>
      </c>
      <c r="W1" s="27" t="s">
        <v>188</v>
      </c>
      <c r="X1" s="27" t="s">
        <v>81</v>
      </c>
      <c r="Y1" s="27" t="s">
        <v>70</v>
      </c>
      <c r="Z1" s="27" t="s">
        <v>73</v>
      </c>
      <c r="AA1" s="27" t="s">
        <v>188</v>
      </c>
      <c r="AB1" s="27" t="s">
        <v>82</v>
      </c>
      <c r="AC1" s="27" t="s">
        <v>73</v>
      </c>
      <c r="AD1" s="27" t="s">
        <v>188</v>
      </c>
      <c r="AE1" s="27" t="s">
        <v>70</v>
      </c>
      <c r="AF1" s="27" t="s">
        <v>204</v>
      </c>
      <c r="AG1" s="27" t="s">
        <v>83</v>
      </c>
      <c r="AH1" s="27" t="s">
        <v>73</v>
      </c>
      <c r="AI1" s="27" t="s">
        <v>188</v>
      </c>
      <c r="AJ1" s="27" t="s">
        <v>84</v>
      </c>
      <c r="AK1" s="27" t="s">
        <v>85</v>
      </c>
    </row>
    <row r="2" spans="1:44" s="2" customFormat="1" ht="18.75" x14ac:dyDescent="0.25">
      <c r="A2" s="82" t="s">
        <v>226</v>
      </c>
      <c r="B2" s="82"/>
      <c r="C2" s="82"/>
      <c r="D2" s="76"/>
      <c r="E2" s="76"/>
      <c r="F2" s="76"/>
      <c r="G2" s="76"/>
      <c r="H2" s="76"/>
      <c r="I2" s="76"/>
      <c r="J2" s="76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</row>
    <row r="3" spans="1:44" x14ac:dyDescent="0.25">
      <c r="A3" s="13" t="s">
        <v>86</v>
      </c>
      <c r="B3" s="13">
        <v>9500</v>
      </c>
      <c r="C3" s="14"/>
      <c r="D3" s="15">
        <v>46240</v>
      </c>
      <c r="E3" s="14" t="s">
        <v>188</v>
      </c>
      <c r="F3" s="15">
        <v>46248</v>
      </c>
      <c r="G3" s="14" t="s">
        <v>25</v>
      </c>
      <c r="H3" s="14">
        <v>2000</v>
      </c>
      <c r="I3" s="14" t="s">
        <v>188</v>
      </c>
      <c r="J3" s="15">
        <v>46248</v>
      </c>
      <c r="K3" s="16" t="s">
        <v>87</v>
      </c>
      <c r="L3" s="16">
        <v>64700</v>
      </c>
      <c r="M3" s="16" t="s">
        <v>188</v>
      </c>
      <c r="N3" s="17">
        <v>46251</v>
      </c>
      <c r="O3" s="16" t="s">
        <v>88</v>
      </c>
      <c r="P3" s="16">
        <v>4310</v>
      </c>
      <c r="Q3" s="16" t="s">
        <v>188</v>
      </c>
      <c r="R3" s="17">
        <v>46242</v>
      </c>
      <c r="S3" s="16" t="s">
        <v>224</v>
      </c>
      <c r="T3" s="16">
        <v>35770</v>
      </c>
      <c r="U3" s="16" t="s">
        <v>188</v>
      </c>
      <c r="V3" s="17">
        <v>46242</v>
      </c>
      <c r="W3" s="16" t="s">
        <v>342</v>
      </c>
      <c r="X3" s="16">
        <v>15000</v>
      </c>
      <c r="Y3" s="16" t="s">
        <v>188</v>
      </c>
      <c r="Z3" s="16" t="s">
        <v>189</v>
      </c>
      <c r="AA3" s="17">
        <v>46235</v>
      </c>
      <c r="AB3" s="16">
        <v>4300</v>
      </c>
      <c r="AC3" s="16"/>
      <c r="AD3" s="16" t="s">
        <v>88</v>
      </c>
      <c r="AE3" s="16"/>
      <c r="AF3" s="16"/>
      <c r="AG3" s="16"/>
      <c r="AH3" s="17">
        <v>46245</v>
      </c>
      <c r="AI3" s="16" t="s">
        <v>89</v>
      </c>
      <c r="AJ3" s="16">
        <v>3000</v>
      </c>
      <c r="AK3" s="16" t="s">
        <v>188</v>
      </c>
      <c r="AL3" s="16"/>
      <c r="AM3" s="16"/>
      <c r="AN3" s="16" t="s">
        <v>90</v>
      </c>
      <c r="AO3" s="16">
        <v>3500</v>
      </c>
      <c r="AP3" s="16"/>
      <c r="AQ3" s="18">
        <v>344883</v>
      </c>
      <c r="AR3" s="16" t="s">
        <v>91</v>
      </c>
    </row>
    <row r="4" spans="1:44" x14ac:dyDescent="0.25">
      <c r="A4" s="13" t="s">
        <v>92</v>
      </c>
      <c r="B4" s="13">
        <v>10500</v>
      </c>
      <c r="C4" s="14" t="s">
        <v>93</v>
      </c>
      <c r="D4" s="15">
        <v>46240</v>
      </c>
      <c r="E4" s="14" t="s">
        <v>188</v>
      </c>
      <c r="F4" s="15">
        <v>46254</v>
      </c>
      <c r="G4" s="14" t="s">
        <v>259</v>
      </c>
      <c r="H4" s="14">
        <v>600</v>
      </c>
      <c r="I4" s="14" t="s">
        <v>188</v>
      </c>
      <c r="J4" s="15">
        <v>46248</v>
      </c>
      <c r="K4" s="16" t="s">
        <v>94</v>
      </c>
      <c r="L4" s="16">
        <v>78280</v>
      </c>
      <c r="M4" s="16" t="s">
        <v>188</v>
      </c>
      <c r="N4" s="17">
        <v>46251</v>
      </c>
      <c r="O4" s="16" t="s">
        <v>95</v>
      </c>
      <c r="P4" s="16">
        <v>16730</v>
      </c>
      <c r="Q4" s="16" t="s">
        <v>188</v>
      </c>
      <c r="R4" s="17">
        <v>46248</v>
      </c>
      <c r="S4" s="16" t="s">
        <v>224</v>
      </c>
      <c r="T4" s="16">
        <v>28300</v>
      </c>
      <c r="U4" s="16" t="s">
        <v>188</v>
      </c>
      <c r="V4" s="17">
        <v>46248</v>
      </c>
      <c r="W4" s="16" t="s">
        <v>342</v>
      </c>
      <c r="X4" s="16">
        <v>15000</v>
      </c>
      <c r="Y4" s="16" t="s">
        <v>188</v>
      </c>
      <c r="Z4" s="16"/>
      <c r="AA4" s="16"/>
      <c r="AB4" s="16"/>
      <c r="AC4" s="16"/>
      <c r="AD4" s="16" t="s">
        <v>96</v>
      </c>
      <c r="AE4" s="16"/>
      <c r="AF4" s="16"/>
      <c r="AG4" s="16"/>
      <c r="AH4" s="17">
        <v>46245</v>
      </c>
      <c r="AI4" s="16" t="s">
        <v>97</v>
      </c>
      <c r="AJ4" s="16">
        <v>9000</v>
      </c>
      <c r="AK4" s="16" t="s">
        <v>188</v>
      </c>
      <c r="AL4" s="16"/>
      <c r="AM4" s="16"/>
      <c r="AN4" s="16" t="s">
        <v>98</v>
      </c>
      <c r="AO4" s="16">
        <v>4000</v>
      </c>
      <c r="AP4" s="16"/>
      <c r="AQ4" s="19">
        <v>164240</v>
      </c>
      <c r="AR4" s="16" t="s">
        <v>99</v>
      </c>
    </row>
    <row r="5" spans="1:44" x14ac:dyDescent="0.25">
      <c r="A5" s="13" t="s">
        <v>100</v>
      </c>
      <c r="B5" s="13">
        <v>10500</v>
      </c>
      <c r="C5" s="14"/>
      <c r="D5" s="15">
        <v>46240</v>
      </c>
      <c r="E5" s="14" t="s">
        <v>188</v>
      </c>
      <c r="F5" s="14"/>
      <c r="G5" s="14"/>
      <c r="H5" s="14"/>
      <c r="I5" s="14"/>
      <c r="J5" s="15">
        <v>46251</v>
      </c>
      <c r="K5" s="16" t="s">
        <v>101</v>
      </c>
      <c r="L5" s="16">
        <v>14640</v>
      </c>
      <c r="M5" s="16" t="s">
        <v>188</v>
      </c>
      <c r="N5" s="17">
        <v>46251</v>
      </c>
      <c r="O5" s="16" t="s">
        <v>102</v>
      </c>
      <c r="P5" s="16">
        <v>18810</v>
      </c>
      <c r="Q5" s="16" t="s">
        <v>188</v>
      </c>
      <c r="R5" s="17">
        <v>46256</v>
      </c>
      <c r="S5" s="16" t="s">
        <v>224</v>
      </c>
      <c r="T5" s="16">
        <v>38200</v>
      </c>
      <c r="U5" s="16" t="s">
        <v>188</v>
      </c>
      <c r="V5" s="17">
        <v>46256</v>
      </c>
      <c r="W5" s="16" t="s">
        <v>342</v>
      </c>
      <c r="X5" s="16">
        <v>15000</v>
      </c>
      <c r="Y5" s="16" t="s">
        <v>188</v>
      </c>
      <c r="Z5" s="16"/>
      <c r="AA5" s="16"/>
      <c r="AB5" s="16"/>
      <c r="AC5" s="16"/>
      <c r="AD5" s="16" t="s">
        <v>103</v>
      </c>
      <c r="AE5" s="16"/>
      <c r="AF5" s="16"/>
      <c r="AG5" s="16"/>
      <c r="AH5" s="16"/>
      <c r="AI5" s="16" t="s">
        <v>104</v>
      </c>
      <c r="AJ5" s="16"/>
      <c r="AK5" s="16"/>
      <c r="AL5" s="17">
        <v>46239</v>
      </c>
      <c r="AM5" s="16" t="s">
        <v>12</v>
      </c>
      <c r="AN5" s="16" t="s">
        <v>205</v>
      </c>
      <c r="AO5" s="16">
        <v>4000</v>
      </c>
      <c r="AP5" s="16"/>
      <c r="AQ5" s="16">
        <v>52000</v>
      </c>
      <c r="AR5" s="16" t="s">
        <v>105</v>
      </c>
    </row>
    <row r="6" spans="1:44" x14ac:dyDescent="0.25">
      <c r="A6" s="13" t="s">
        <v>25</v>
      </c>
      <c r="B6" s="13">
        <v>12500</v>
      </c>
      <c r="C6" s="14"/>
      <c r="D6" s="15">
        <v>46235</v>
      </c>
      <c r="E6" s="14" t="s">
        <v>188</v>
      </c>
      <c r="F6" s="14"/>
      <c r="G6" s="14"/>
      <c r="H6" s="14"/>
      <c r="I6" s="14"/>
      <c r="J6" s="15">
        <v>46251</v>
      </c>
      <c r="K6" s="16" t="s">
        <v>106</v>
      </c>
      <c r="L6" s="16">
        <v>6840</v>
      </c>
      <c r="M6" s="16" t="s">
        <v>188</v>
      </c>
      <c r="N6" s="17">
        <v>46251</v>
      </c>
      <c r="O6" s="16" t="s">
        <v>107</v>
      </c>
      <c r="P6" s="16">
        <v>7890</v>
      </c>
      <c r="Q6" s="16" t="s">
        <v>188</v>
      </c>
      <c r="R6" s="17">
        <v>46263</v>
      </c>
      <c r="S6" s="16" t="s">
        <v>224</v>
      </c>
      <c r="T6" s="16">
        <v>33000</v>
      </c>
      <c r="U6" s="16" t="s">
        <v>188</v>
      </c>
      <c r="V6" s="17">
        <v>46263</v>
      </c>
      <c r="W6" s="16" t="s">
        <v>342</v>
      </c>
      <c r="X6" s="16">
        <v>15000</v>
      </c>
      <c r="Y6" s="16" t="s">
        <v>188</v>
      </c>
      <c r="Z6" s="16"/>
      <c r="AA6" s="16"/>
      <c r="AB6" s="16"/>
      <c r="AC6" s="16"/>
      <c r="AD6" s="16" t="s">
        <v>106</v>
      </c>
      <c r="AE6" s="16"/>
      <c r="AF6" s="16"/>
      <c r="AG6" s="16"/>
      <c r="AH6" s="17">
        <v>49901</v>
      </c>
      <c r="AI6" s="16" t="s">
        <v>246</v>
      </c>
      <c r="AJ6" s="16">
        <v>5000</v>
      </c>
      <c r="AK6" s="16" t="s">
        <v>188</v>
      </c>
      <c r="AL6" s="16"/>
      <c r="AM6" s="16"/>
      <c r="AN6" s="16"/>
      <c r="AO6" s="16"/>
      <c r="AP6" s="16"/>
      <c r="AQ6" s="16">
        <f>SUM(AQ3:AQ5)</f>
        <v>561123</v>
      </c>
      <c r="AR6" s="16" t="s">
        <v>108</v>
      </c>
    </row>
    <row r="7" spans="1:44" x14ac:dyDescent="0.25">
      <c r="A7" s="19" t="s">
        <v>109</v>
      </c>
      <c r="B7" s="19">
        <v>8500</v>
      </c>
      <c r="C7" s="14" t="s">
        <v>110</v>
      </c>
      <c r="D7" s="15">
        <v>46239</v>
      </c>
      <c r="E7" s="14" t="s">
        <v>188</v>
      </c>
      <c r="F7" s="14"/>
      <c r="G7" s="14"/>
      <c r="H7" s="14"/>
      <c r="I7" s="14"/>
      <c r="J7" s="14"/>
      <c r="K7" s="16" t="s">
        <v>111</v>
      </c>
      <c r="L7" s="16"/>
      <c r="M7" s="16"/>
      <c r="N7" s="16"/>
      <c r="O7" s="49" t="s">
        <v>232</v>
      </c>
      <c r="P7" s="49">
        <f>SUM(P3:P6)</f>
        <v>47740</v>
      </c>
      <c r="Q7" s="50"/>
      <c r="R7" s="50"/>
      <c r="S7" s="50"/>
      <c r="T7" s="50"/>
      <c r="U7" s="50"/>
      <c r="V7" s="50"/>
      <c r="W7" s="50"/>
      <c r="X7" s="16"/>
      <c r="Y7" s="16"/>
      <c r="Z7" s="16"/>
      <c r="AA7" s="16"/>
      <c r="AB7" s="16"/>
      <c r="AC7" s="16"/>
      <c r="AD7" s="16" t="s">
        <v>112</v>
      </c>
      <c r="AE7" s="17">
        <v>46235</v>
      </c>
      <c r="AF7" s="16">
        <v>1000</v>
      </c>
      <c r="AG7" s="16" t="s">
        <v>188</v>
      </c>
      <c r="AH7" s="17">
        <v>46251</v>
      </c>
      <c r="AI7" s="16" t="s">
        <v>246</v>
      </c>
      <c r="AJ7" s="16">
        <v>5000</v>
      </c>
      <c r="AK7" s="16" t="s">
        <v>188</v>
      </c>
      <c r="AL7" s="16"/>
      <c r="AM7" s="16"/>
      <c r="AN7" s="16"/>
      <c r="AO7" s="16"/>
      <c r="AP7" s="16"/>
      <c r="AQ7" s="16"/>
      <c r="AR7" s="16" t="s">
        <v>107</v>
      </c>
    </row>
    <row r="8" spans="1:44" x14ac:dyDescent="0.25">
      <c r="A8" s="19" t="s">
        <v>113</v>
      </c>
      <c r="B8" s="19">
        <v>3000</v>
      </c>
      <c r="C8" s="14"/>
      <c r="D8" s="15">
        <v>49892</v>
      </c>
      <c r="E8" s="14" t="s">
        <v>188</v>
      </c>
      <c r="F8" s="14"/>
      <c r="G8" s="14"/>
      <c r="H8" s="14"/>
      <c r="I8" s="14"/>
      <c r="J8" s="14"/>
      <c r="K8" s="49" t="s">
        <v>232</v>
      </c>
      <c r="L8" s="48">
        <f>SUM(L3:L7)</f>
        <v>164460</v>
      </c>
      <c r="M8" s="50"/>
      <c r="N8" s="50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 t="s">
        <v>114</v>
      </c>
      <c r="AE8" s="16"/>
      <c r="AF8" s="16"/>
      <c r="AG8" s="16"/>
      <c r="AH8" s="17">
        <v>46259</v>
      </c>
      <c r="AI8" s="16" t="s">
        <v>269</v>
      </c>
      <c r="AJ8" s="16">
        <v>3000</v>
      </c>
      <c r="AK8" s="16" t="s">
        <v>188</v>
      </c>
      <c r="AL8" s="16"/>
      <c r="AM8" s="16"/>
      <c r="AN8" s="16"/>
      <c r="AO8" s="16"/>
      <c r="AP8" s="16"/>
      <c r="AQ8" s="16"/>
      <c r="AR8" s="16" t="s">
        <v>115</v>
      </c>
    </row>
    <row r="9" spans="1:44" x14ac:dyDescent="0.25">
      <c r="A9" s="20" t="s">
        <v>116</v>
      </c>
      <c r="B9" s="20">
        <v>14000</v>
      </c>
      <c r="C9" s="14"/>
      <c r="D9" s="15">
        <v>46235</v>
      </c>
      <c r="E9" s="14" t="s">
        <v>188</v>
      </c>
      <c r="F9" s="14"/>
      <c r="G9" s="14"/>
      <c r="H9" s="14"/>
      <c r="I9" s="14"/>
      <c r="J9" s="14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21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</row>
    <row r="10" spans="1:44" x14ac:dyDescent="0.25">
      <c r="A10" s="20" t="s">
        <v>117</v>
      </c>
      <c r="B10" s="20">
        <v>13000</v>
      </c>
      <c r="C10" s="14" t="s">
        <v>118</v>
      </c>
      <c r="D10" s="15">
        <v>46235</v>
      </c>
      <c r="E10" s="14" t="s">
        <v>188</v>
      </c>
      <c r="F10" s="14"/>
      <c r="G10" s="14"/>
      <c r="H10" s="14"/>
      <c r="I10" s="14"/>
      <c r="J10" s="14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 t="s">
        <v>112</v>
      </c>
      <c r="AE10" s="17">
        <v>46241</v>
      </c>
      <c r="AF10" s="16">
        <v>1500</v>
      </c>
      <c r="AG10" s="16" t="s">
        <v>188</v>
      </c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</row>
    <row r="11" spans="1:44" x14ac:dyDescent="0.25">
      <c r="A11" s="20" t="s">
        <v>119</v>
      </c>
      <c r="B11" s="20">
        <v>10500</v>
      </c>
      <c r="C11" s="14"/>
      <c r="D11" s="15">
        <v>46239</v>
      </c>
      <c r="E11" s="14" t="s">
        <v>188</v>
      </c>
      <c r="F11" s="14"/>
      <c r="G11" s="14"/>
      <c r="H11" s="14"/>
      <c r="I11" s="14"/>
      <c r="J11" s="14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 t="s">
        <v>112</v>
      </c>
      <c r="AE11" s="17">
        <v>46248</v>
      </c>
      <c r="AF11" s="16">
        <v>1500</v>
      </c>
      <c r="AG11" s="16" t="s">
        <v>188</v>
      </c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</row>
    <row r="12" spans="1:44" x14ac:dyDescent="0.25">
      <c r="A12" s="22" t="s">
        <v>120</v>
      </c>
      <c r="B12" s="22">
        <v>10500</v>
      </c>
      <c r="C12" s="14" t="s">
        <v>8</v>
      </c>
      <c r="D12" s="15">
        <v>46245</v>
      </c>
      <c r="E12" s="14" t="s">
        <v>188</v>
      </c>
      <c r="F12" s="14"/>
      <c r="G12" s="14"/>
      <c r="H12" s="14"/>
      <c r="I12" s="14"/>
      <c r="J12" s="14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 t="s">
        <v>112</v>
      </c>
      <c r="AE12" s="17">
        <v>46251</v>
      </c>
      <c r="AF12" s="16">
        <v>1500</v>
      </c>
      <c r="AG12" s="16" t="s">
        <v>188</v>
      </c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</row>
    <row r="13" spans="1:44" x14ac:dyDescent="0.25">
      <c r="A13" s="23" t="s">
        <v>121</v>
      </c>
      <c r="B13" s="23">
        <v>9000</v>
      </c>
      <c r="C13" s="14"/>
      <c r="D13" s="15">
        <v>46239</v>
      </c>
      <c r="E13" s="14" t="s">
        <v>188</v>
      </c>
      <c r="F13" s="14"/>
      <c r="G13" s="14"/>
      <c r="H13" s="14"/>
      <c r="I13" s="14"/>
      <c r="J13" s="14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 t="s">
        <v>112</v>
      </c>
      <c r="AE13" s="17">
        <v>46254</v>
      </c>
      <c r="AF13" s="16">
        <v>1000</v>
      </c>
      <c r="AG13" s="16" t="s">
        <v>188</v>
      </c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</row>
    <row r="14" spans="1:44" x14ac:dyDescent="0.25">
      <c r="A14" s="23" t="s">
        <v>122</v>
      </c>
      <c r="B14" s="23">
        <v>8750</v>
      </c>
      <c r="C14" s="14">
        <v>56</v>
      </c>
      <c r="D14" s="15">
        <v>46239</v>
      </c>
      <c r="E14" s="14" t="s">
        <v>188</v>
      </c>
      <c r="F14" s="14"/>
      <c r="G14" s="14"/>
      <c r="H14" s="14"/>
      <c r="I14" s="14"/>
      <c r="J14" s="14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</row>
    <row r="15" spans="1:44" x14ac:dyDescent="0.25">
      <c r="A15" s="24" t="s">
        <v>123</v>
      </c>
      <c r="B15" s="24">
        <v>5000</v>
      </c>
      <c r="C15" s="14" t="s">
        <v>12</v>
      </c>
      <c r="D15" s="15">
        <v>46244</v>
      </c>
      <c r="E15" s="14" t="s">
        <v>188</v>
      </c>
      <c r="F15" s="14"/>
      <c r="G15" s="14"/>
      <c r="H15" s="14"/>
      <c r="I15" s="14"/>
      <c r="J15" s="14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</row>
    <row r="16" spans="1:44" x14ac:dyDescent="0.25">
      <c r="A16" s="24" t="s">
        <v>124</v>
      </c>
      <c r="B16" s="24">
        <v>10000</v>
      </c>
      <c r="C16" s="14" t="s">
        <v>12</v>
      </c>
      <c r="D16" s="15">
        <v>46244</v>
      </c>
      <c r="E16" s="14" t="s">
        <v>188</v>
      </c>
      <c r="F16" s="14"/>
      <c r="G16" s="14"/>
      <c r="H16" s="14"/>
      <c r="I16" s="14"/>
      <c r="J16" s="14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</row>
    <row r="17" spans="1:44" x14ac:dyDescent="0.25">
      <c r="A17" s="16" t="s">
        <v>125</v>
      </c>
      <c r="B17" s="16">
        <v>11000</v>
      </c>
      <c r="C17" s="14" t="s">
        <v>126</v>
      </c>
      <c r="D17" s="15">
        <v>46235</v>
      </c>
      <c r="E17" s="14" t="s">
        <v>188</v>
      </c>
      <c r="F17" s="14"/>
      <c r="G17" s="14"/>
      <c r="H17" s="14"/>
      <c r="I17" s="14"/>
      <c r="J17" s="14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</row>
    <row r="18" spans="1:44" x14ac:dyDescent="0.25">
      <c r="A18" s="16" t="s">
        <v>127</v>
      </c>
      <c r="B18" s="16">
        <v>5000</v>
      </c>
      <c r="C18" s="14" t="s">
        <v>126</v>
      </c>
      <c r="D18" s="15">
        <v>46239</v>
      </c>
      <c r="E18" s="14" t="s">
        <v>188</v>
      </c>
      <c r="F18" s="14"/>
      <c r="G18" s="14"/>
      <c r="H18" s="14"/>
      <c r="I18" s="14"/>
      <c r="J18" s="14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</row>
    <row r="19" spans="1:44" x14ac:dyDescent="0.25">
      <c r="A19" s="16" t="s">
        <v>128</v>
      </c>
      <c r="B19" s="16">
        <v>11000</v>
      </c>
      <c r="C19" s="14" t="s">
        <v>126</v>
      </c>
      <c r="D19" s="25">
        <v>46235</v>
      </c>
      <c r="E19" s="14" t="s">
        <v>188</v>
      </c>
      <c r="F19" s="14"/>
      <c r="G19" s="14"/>
      <c r="H19" s="14"/>
      <c r="I19" s="14"/>
      <c r="J19" s="14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</row>
    <row r="20" spans="1:44" x14ac:dyDescent="0.25">
      <c r="A20" s="16" t="s">
        <v>129</v>
      </c>
      <c r="B20" s="16">
        <v>50000</v>
      </c>
      <c r="C20" s="14">
        <v>50000</v>
      </c>
      <c r="D20" s="15">
        <v>46265</v>
      </c>
      <c r="E20" s="14" t="s">
        <v>188</v>
      </c>
      <c r="F20" s="14"/>
      <c r="G20" s="14"/>
      <c r="H20" s="14"/>
      <c r="I20" s="14"/>
      <c r="J20" s="14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</row>
    <row r="21" spans="1:44" x14ac:dyDescent="0.25">
      <c r="A21" s="16" t="s">
        <v>264</v>
      </c>
      <c r="B21" s="16">
        <v>750</v>
      </c>
      <c r="C21" s="14"/>
      <c r="D21" s="15">
        <v>46258</v>
      </c>
      <c r="E21" s="14" t="s">
        <v>188</v>
      </c>
      <c r="F21" s="14"/>
      <c r="G21" s="14"/>
      <c r="H21" s="14"/>
      <c r="I21" s="14"/>
      <c r="J21" s="14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</row>
    <row r="22" spans="1:44" x14ac:dyDescent="0.25">
      <c r="A22" s="16" t="s">
        <v>130</v>
      </c>
      <c r="B22" s="26">
        <v>1600</v>
      </c>
      <c r="C22" s="14"/>
      <c r="D22" s="15">
        <v>46242</v>
      </c>
      <c r="E22" s="14" t="s">
        <v>188</v>
      </c>
      <c r="F22" s="14"/>
      <c r="G22" s="14"/>
      <c r="H22" s="14"/>
      <c r="I22" s="14"/>
      <c r="J22" s="14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</row>
    <row r="23" spans="1:44" x14ac:dyDescent="0.25">
      <c r="A23" s="16" t="s">
        <v>131</v>
      </c>
      <c r="B23" s="16">
        <v>23000</v>
      </c>
      <c r="C23" s="14"/>
      <c r="D23" s="15">
        <v>46235</v>
      </c>
      <c r="E23" s="14" t="s">
        <v>188</v>
      </c>
      <c r="F23" s="14"/>
      <c r="G23" s="14"/>
      <c r="H23" s="14"/>
      <c r="I23" s="14"/>
      <c r="J23" s="14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</row>
    <row r="24" spans="1:44" x14ac:dyDescent="0.25">
      <c r="A24" s="16" t="s">
        <v>222</v>
      </c>
      <c r="B24" s="16">
        <v>2500</v>
      </c>
      <c r="C24" s="14" t="s">
        <v>253</v>
      </c>
      <c r="D24" s="15">
        <v>46235</v>
      </c>
      <c r="E24" s="14" t="s">
        <v>188</v>
      </c>
      <c r="F24" s="14"/>
      <c r="G24" s="14"/>
      <c r="H24" s="14"/>
      <c r="I24" s="14"/>
      <c r="J24" s="14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</row>
    <row r="25" spans="1:44" x14ac:dyDescent="0.25">
      <c r="A25" s="16" t="s">
        <v>222</v>
      </c>
      <c r="B25" s="16">
        <v>2500</v>
      </c>
      <c r="C25" s="14" t="s">
        <v>254</v>
      </c>
      <c r="D25" s="15">
        <v>46242</v>
      </c>
      <c r="E25" s="14"/>
      <c r="F25" s="14"/>
      <c r="G25" s="14"/>
      <c r="H25" s="14"/>
      <c r="I25" s="14"/>
      <c r="J25" s="14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</row>
    <row r="26" spans="1:44" x14ac:dyDescent="0.25">
      <c r="A26" s="16" t="s">
        <v>222</v>
      </c>
      <c r="B26" s="16">
        <v>2500</v>
      </c>
      <c r="C26" s="14" t="s">
        <v>255</v>
      </c>
      <c r="D26" s="15">
        <v>46249</v>
      </c>
      <c r="E26" s="14"/>
      <c r="F26" s="14"/>
      <c r="G26" s="14"/>
      <c r="H26" s="14"/>
      <c r="I26" s="14"/>
      <c r="J26" s="14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</row>
    <row r="27" spans="1:44" x14ac:dyDescent="0.25">
      <c r="A27" s="16" t="s">
        <v>222</v>
      </c>
      <c r="B27" s="16">
        <v>2500</v>
      </c>
      <c r="C27" s="14" t="s">
        <v>256</v>
      </c>
      <c r="D27" s="15">
        <v>46256</v>
      </c>
      <c r="E27" s="14"/>
      <c r="F27" s="14"/>
      <c r="G27" s="14"/>
      <c r="H27" s="14"/>
      <c r="I27" s="14"/>
      <c r="J27" s="14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</row>
    <row r="28" spans="1:44" x14ac:dyDescent="0.25">
      <c r="A28" s="16" t="s">
        <v>222</v>
      </c>
      <c r="B28" s="16">
        <v>2500</v>
      </c>
      <c r="C28" s="14" t="s">
        <v>272</v>
      </c>
      <c r="D28" s="15">
        <v>46263</v>
      </c>
      <c r="E28" s="14" t="s">
        <v>188</v>
      </c>
      <c r="F28" s="14"/>
      <c r="G28" s="14"/>
      <c r="H28" s="14"/>
      <c r="I28" s="14"/>
      <c r="J28" s="14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</row>
    <row r="29" spans="1:44" x14ac:dyDescent="0.25">
      <c r="A29" s="16" t="s">
        <v>190</v>
      </c>
      <c r="B29" s="16">
        <v>10500</v>
      </c>
      <c r="C29" s="14"/>
      <c r="D29" s="15">
        <v>46235</v>
      </c>
      <c r="E29" s="14" t="s">
        <v>188</v>
      </c>
      <c r="F29" s="14"/>
      <c r="G29" s="14"/>
      <c r="H29" s="14"/>
      <c r="I29" s="14"/>
      <c r="J29" s="14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</row>
    <row r="30" spans="1:44" x14ac:dyDescent="0.25">
      <c r="A30" s="16" t="s">
        <v>220</v>
      </c>
      <c r="B30" s="16">
        <v>21000</v>
      </c>
      <c r="C30" s="14" t="s">
        <v>8</v>
      </c>
      <c r="D30" s="15">
        <v>46253</v>
      </c>
      <c r="E30" s="14" t="s">
        <v>188</v>
      </c>
      <c r="F30" s="14"/>
      <c r="G30" s="14"/>
      <c r="H30" s="14"/>
      <c r="I30" s="14"/>
      <c r="J30" s="14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</row>
    <row r="31" spans="1:44" x14ac:dyDescent="0.25">
      <c r="A31" s="16" t="s">
        <v>221</v>
      </c>
      <c r="B31" s="16">
        <v>5000</v>
      </c>
      <c r="C31" s="14" t="s">
        <v>8</v>
      </c>
      <c r="D31" s="15">
        <v>46253</v>
      </c>
      <c r="E31" s="14" t="s">
        <v>188</v>
      </c>
      <c r="F31" s="14"/>
      <c r="G31" s="14"/>
      <c r="H31" s="14"/>
      <c r="I31" s="14"/>
      <c r="J31" s="14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</row>
    <row r="32" spans="1:44" x14ac:dyDescent="0.25">
      <c r="A32" s="16" t="s">
        <v>235</v>
      </c>
      <c r="B32" s="16">
        <v>12000</v>
      </c>
      <c r="C32" s="14" t="s">
        <v>12</v>
      </c>
      <c r="D32" s="15">
        <v>46247</v>
      </c>
      <c r="E32" s="14" t="s">
        <v>188</v>
      </c>
      <c r="F32" s="14"/>
      <c r="G32" s="14"/>
      <c r="H32" s="14"/>
      <c r="I32" s="14"/>
      <c r="J32" s="14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</row>
    <row r="33" spans="1:44" x14ac:dyDescent="0.25">
      <c r="A33" s="16" t="s">
        <v>232</v>
      </c>
      <c r="B33" s="16">
        <f>SUM(B3:B32)</f>
        <v>298600</v>
      </c>
      <c r="C33" s="14"/>
      <c r="D33" s="14"/>
      <c r="E33" s="14"/>
      <c r="F33" s="14"/>
      <c r="G33" s="14"/>
      <c r="H33" s="14"/>
      <c r="I33" s="14"/>
      <c r="J33" s="14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</row>
    <row r="34" spans="1:44" s="2" customFormat="1" ht="18.75" x14ac:dyDescent="0.25">
      <c r="A34" s="82" t="s">
        <v>273</v>
      </c>
      <c r="B34" s="82"/>
      <c r="C34" s="82"/>
      <c r="D34" s="76"/>
      <c r="E34" s="76"/>
      <c r="F34" s="76"/>
      <c r="G34" s="76"/>
      <c r="H34" s="76"/>
      <c r="I34" s="76"/>
      <c r="J34" s="76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</row>
    <row r="35" spans="1:44" x14ac:dyDescent="0.25">
      <c r="A35" s="13" t="s">
        <v>86</v>
      </c>
      <c r="B35" s="13">
        <v>9500</v>
      </c>
      <c r="C35" s="14"/>
      <c r="D35" s="15">
        <v>46272</v>
      </c>
      <c r="E35" s="14" t="s">
        <v>188</v>
      </c>
      <c r="F35" s="15"/>
      <c r="G35" s="14"/>
      <c r="H35" s="14"/>
      <c r="I35" s="14"/>
      <c r="J35" s="15"/>
      <c r="K35" s="16" t="s">
        <v>87</v>
      </c>
      <c r="L35" s="16">
        <v>38320</v>
      </c>
      <c r="M35" s="16"/>
      <c r="N35" s="17">
        <v>46280</v>
      </c>
      <c r="O35" s="16" t="s">
        <v>88</v>
      </c>
      <c r="P35" s="16">
        <v>4900</v>
      </c>
      <c r="Q35" s="16" t="s">
        <v>188</v>
      </c>
      <c r="R35" s="17">
        <v>46270</v>
      </c>
      <c r="S35" s="16" t="s">
        <v>224</v>
      </c>
      <c r="T35" s="16">
        <v>32050</v>
      </c>
      <c r="U35" s="16" t="s">
        <v>188</v>
      </c>
      <c r="V35" s="17"/>
      <c r="W35" s="16" t="s">
        <v>342</v>
      </c>
      <c r="X35" s="16"/>
      <c r="Y35" s="16"/>
      <c r="Z35" s="16" t="s">
        <v>189</v>
      </c>
      <c r="AA35" s="17">
        <v>46288</v>
      </c>
      <c r="AB35" s="16">
        <v>3200</v>
      </c>
      <c r="AC35" s="16" t="s">
        <v>188</v>
      </c>
      <c r="AD35" s="16" t="s">
        <v>88</v>
      </c>
      <c r="AE35" s="16"/>
      <c r="AF35" s="16"/>
      <c r="AG35" s="16"/>
      <c r="AH35" s="17"/>
      <c r="AI35" s="16" t="s">
        <v>89</v>
      </c>
      <c r="AJ35" s="16"/>
      <c r="AK35" s="16"/>
      <c r="AL35" s="16"/>
      <c r="AM35" s="16"/>
      <c r="AN35" s="16" t="s">
        <v>90</v>
      </c>
      <c r="AO35" s="16"/>
      <c r="AP35" s="16"/>
      <c r="AQ35" s="18"/>
      <c r="AR35" s="16" t="s">
        <v>91</v>
      </c>
    </row>
    <row r="36" spans="1:44" x14ac:dyDescent="0.25">
      <c r="A36" s="13" t="s">
        <v>92</v>
      </c>
      <c r="B36" s="13">
        <v>10500</v>
      </c>
      <c r="C36" s="14" t="s">
        <v>93</v>
      </c>
      <c r="D36" s="15">
        <v>46268</v>
      </c>
      <c r="E36" s="14" t="s">
        <v>188</v>
      </c>
      <c r="F36" s="15"/>
      <c r="G36" s="14"/>
      <c r="H36" s="14"/>
      <c r="I36" s="14"/>
      <c r="J36" s="15"/>
      <c r="K36" s="16" t="s">
        <v>94</v>
      </c>
      <c r="L36" s="16">
        <v>92090</v>
      </c>
      <c r="M36" s="16"/>
      <c r="N36" s="17">
        <v>46280</v>
      </c>
      <c r="O36" s="16" t="s">
        <v>95</v>
      </c>
      <c r="P36" s="16">
        <v>17920</v>
      </c>
      <c r="Q36" s="16" t="s">
        <v>188</v>
      </c>
      <c r="R36" s="17">
        <v>46277</v>
      </c>
      <c r="S36" s="16" t="s">
        <v>224</v>
      </c>
      <c r="T36" s="16">
        <v>28200</v>
      </c>
      <c r="U36" s="16" t="s">
        <v>188</v>
      </c>
      <c r="V36" s="17">
        <v>46277</v>
      </c>
      <c r="W36" s="16" t="s">
        <v>342</v>
      </c>
      <c r="X36" s="16">
        <v>15000</v>
      </c>
      <c r="Y36" s="16" t="s">
        <v>188</v>
      </c>
      <c r="Z36" s="16" t="s">
        <v>316</v>
      </c>
      <c r="AA36" s="17">
        <v>46270</v>
      </c>
      <c r="AB36" s="16">
        <v>4800</v>
      </c>
      <c r="AC36" s="16" t="s">
        <v>188</v>
      </c>
      <c r="AD36" s="16" t="s">
        <v>96</v>
      </c>
      <c r="AE36" s="16"/>
      <c r="AF36" s="16"/>
      <c r="AG36" s="16"/>
      <c r="AH36" s="17"/>
      <c r="AI36" s="16" t="s">
        <v>97</v>
      </c>
      <c r="AJ36" s="16"/>
      <c r="AK36" s="16"/>
      <c r="AL36" s="16"/>
      <c r="AM36" s="16"/>
      <c r="AN36" s="16" t="s">
        <v>98</v>
      </c>
      <c r="AO36" s="16"/>
      <c r="AP36" s="16"/>
      <c r="AQ36" s="19"/>
      <c r="AR36" s="16" t="s">
        <v>99</v>
      </c>
    </row>
    <row r="37" spans="1:44" x14ac:dyDescent="0.25">
      <c r="A37" s="13" t="s">
        <v>100</v>
      </c>
      <c r="B37" s="13">
        <v>10500</v>
      </c>
      <c r="C37" s="14"/>
      <c r="D37" s="15">
        <v>46268</v>
      </c>
      <c r="E37" s="14" t="s">
        <v>188</v>
      </c>
      <c r="F37" s="14"/>
      <c r="G37" s="14"/>
      <c r="H37" s="14"/>
      <c r="I37" s="14"/>
      <c r="J37" s="15"/>
      <c r="K37" s="16" t="s">
        <v>101</v>
      </c>
      <c r="L37" s="16">
        <v>13990</v>
      </c>
      <c r="M37" s="16"/>
      <c r="N37" s="17">
        <v>46280</v>
      </c>
      <c r="O37" s="16" t="s">
        <v>102</v>
      </c>
      <c r="P37" s="16">
        <v>19450</v>
      </c>
      <c r="Q37" s="16" t="s">
        <v>188</v>
      </c>
      <c r="R37" s="17">
        <v>46284</v>
      </c>
      <c r="S37" s="16" t="s">
        <v>224</v>
      </c>
      <c r="T37" s="16">
        <v>29750</v>
      </c>
      <c r="U37" s="16" t="s">
        <v>188</v>
      </c>
      <c r="V37" s="17"/>
      <c r="W37" s="16" t="s">
        <v>342</v>
      </c>
      <c r="X37" s="16"/>
      <c r="Y37" s="16"/>
      <c r="Z37" s="16"/>
      <c r="AA37" s="16"/>
      <c r="AB37" s="16"/>
      <c r="AC37" s="16"/>
      <c r="AD37" s="16" t="s">
        <v>103</v>
      </c>
      <c r="AE37" s="16"/>
      <c r="AF37" s="16"/>
      <c r="AG37" s="16"/>
      <c r="AH37" s="16"/>
      <c r="AI37" s="16" t="s">
        <v>104</v>
      </c>
      <c r="AJ37" s="16"/>
      <c r="AK37" s="16"/>
      <c r="AL37" s="16" t="s">
        <v>12</v>
      </c>
      <c r="AM37" s="17">
        <v>46269</v>
      </c>
      <c r="AN37" s="16" t="s">
        <v>205</v>
      </c>
      <c r="AO37" s="16">
        <v>1500</v>
      </c>
      <c r="AP37" s="16" t="s">
        <v>188</v>
      </c>
      <c r="AQ37" s="16"/>
      <c r="AR37" s="16" t="s">
        <v>105</v>
      </c>
    </row>
    <row r="38" spans="1:44" x14ac:dyDescent="0.25">
      <c r="A38" s="13" t="s">
        <v>25</v>
      </c>
      <c r="B38" s="13">
        <v>12500</v>
      </c>
      <c r="C38" s="14"/>
      <c r="D38" s="15">
        <v>46266</v>
      </c>
      <c r="E38" s="14" t="s">
        <v>188</v>
      </c>
      <c r="F38" s="14"/>
      <c r="G38" s="14"/>
      <c r="H38" s="14"/>
      <c r="I38" s="14"/>
      <c r="J38" s="15"/>
      <c r="K38" s="16" t="s">
        <v>106</v>
      </c>
      <c r="L38" s="16">
        <v>6020</v>
      </c>
      <c r="M38" s="16"/>
      <c r="N38" s="17">
        <v>46280</v>
      </c>
      <c r="O38" s="16" t="s">
        <v>107</v>
      </c>
      <c r="P38" s="16">
        <v>8740</v>
      </c>
      <c r="Q38" s="16" t="s">
        <v>188</v>
      </c>
      <c r="R38" s="17">
        <v>46291</v>
      </c>
      <c r="S38" s="16" t="s">
        <v>224</v>
      </c>
      <c r="T38" s="16">
        <v>33800</v>
      </c>
      <c r="U38" s="16" t="s">
        <v>188</v>
      </c>
      <c r="V38" s="17">
        <v>46291</v>
      </c>
      <c r="W38" s="16" t="s">
        <v>342</v>
      </c>
      <c r="X38" s="16">
        <v>15000</v>
      </c>
      <c r="Y38" s="16" t="s">
        <v>188</v>
      </c>
      <c r="Z38" s="16"/>
      <c r="AA38" s="16"/>
      <c r="AB38" s="16"/>
      <c r="AC38" s="16"/>
      <c r="AD38" s="16" t="s">
        <v>106</v>
      </c>
      <c r="AE38" s="16"/>
      <c r="AF38" s="16"/>
      <c r="AG38" s="16"/>
      <c r="AH38" s="17"/>
      <c r="AI38" s="16" t="s">
        <v>246</v>
      </c>
      <c r="AJ38" s="16"/>
      <c r="AK38" s="16"/>
      <c r="AL38" s="16"/>
      <c r="AM38" s="17">
        <v>46272</v>
      </c>
      <c r="AN38" s="16" t="s">
        <v>318</v>
      </c>
      <c r="AO38" s="16">
        <v>24350</v>
      </c>
      <c r="AP38" s="16" t="s">
        <v>188</v>
      </c>
      <c r="AQ38" s="16"/>
      <c r="AR38" s="16" t="s">
        <v>108</v>
      </c>
    </row>
    <row r="39" spans="1:44" x14ac:dyDescent="0.25">
      <c r="A39" s="19" t="s">
        <v>109</v>
      </c>
      <c r="B39" s="19">
        <v>8500</v>
      </c>
      <c r="C39" s="14" t="s">
        <v>110</v>
      </c>
      <c r="D39" s="15">
        <v>46268</v>
      </c>
      <c r="E39" s="14" t="s">
        <v>188</v>
      </c>
      <c r="F39" s="14"/>
      <c r="G39" s="14"/>
      <c r="H39" s="14"/>
      <c r="I39" s="14"/>
      <c r="J39" s="14"/>
      <c r="K39" s="16" t="s">
        <v>111</v>
      </c>
      <c r="L39" s="16">
        <v>100</v>
      </c>
      <c r="M39" s="16"/>
      <c r="N39" s="16"/>
      <c r="O39" s="49" t="s">
        <v>232</v>
      </c>
      <c r="P39" s="49">
        <f>SUM(P35:P38)</f>
        <v>51010</v>
      </c>
      <c r="Q39" s="50"/>
      <c r="R39" s="50"/>
      <c r="S39" s="50"/>
      <c r="T39" s="50"/>
      <c r="U39" s="50"/>
      <c r="V39" s="50"/>
      <c r="W39" s="16"/>
      <c r="X39" s="16"/>
      <c r="Y39" s="16"/>
      <c r="Z39" s="16"/>
      <c r="AA39" s="16"/>
      <c r="AB39" s="16"/>
      <c r="AC39" s="16"/>
      <c r="AD39" s="16" t="s">
        <v>114</v>
      </c>
      <c r="AE39" s="17">
        <v>46267</v>
      </c>
      <c r="AF39" s="16">
        <v>1000</v>
      </c>
      <c r="AG39" s="16" t="s">
        <v>188</v>
      </c>
      <c r="AH39" s="17">
        <v>46272</v>
      </c>
      <c r="AI39" s="16" t="s">
        <v>246</v>
      </c>
      <c r="AJ39" s="16">
        <v>500</v>
      </c>
      <c r="AK39" s="16" t="s">
        <v>188</v>
      </c>
      <c r="AL39" s="16"/>
      <c r="AM39" s="17">
        <v>46272</v>
      </c>
      <c r="AN39" s="16" t="s">
        <v>121</v>
      </c>
      <c r="AO39" s="16">
        <v>3000</v>
      </c>
      <c r="AP39" s="16" t="s">
        <v>188</v>
      </c>
      <c r="AQ39" s="16"/>
      <c r="AR39" s="16" t="s">
        <v>107</v>
      </c>
    </row>
    <row r="40" spans="1:44" x14ac:dyDescent="0.25">
      <c r="A40" s="19" t="s">
        <v>113</v>
      </c>
      <c r="B40" s="19">
        <v>3000</v>
      </c>
      <c r="C40" s="14"/>
      <c r="D40" s="15">
        <v>46268</v>
      </c>
      <c r="E40" s="14" t="s">
        <v>188</v>
      </c>
      <c r="F40" s="14"/>
      <c r="G40" s="14"/>
      <c r="H40" s="14"/>
      <c r="I40" s="14"/>
      <c r="J40" s="14"/>
      <c r="K40" s="49" t="s">
        <v>232</v>
      </c>
      <c r="L40" s="48">
        <f>SUM(L35:L39)</f>
        <v>150520</v>
      </c>
      <c r="M40" s="50"/>
      <c r="N40" s="50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 t="s">
        <v>356</v>
      </c>
      <c r="AE40" s="17">
        <v>46276</v>
      </c>
      <c r="AF40" s="16">
        <v>1000</v>
      </c>
      <c r="AG40" s="16"/>
      <c r="AH40" s="17">
        <v>46282</v>
      </c>
      <c r="AI40" s="16" t="s">
        <v>269</v>
      </c>
      <c r="AJ40" s="16">
        <v>3500</v>
      </c>
      <c r="AK40" s="16" t="s">
        <v>188</v>
      </c>
      <c r="AL40" s="16"/>
      <c r="AM40" s="17">
        <v>46272</v>
      </c>
      <c r="AN40" s="16" t="s">
        <v>319</v>
      </c>
      <c r="AO40" s="16">
        <v>9600</v>
      </c>
      <c r="AP40" s="16" t="s">
        <v>188</v>
      </c>
      <c r="AQ40" s="16"/>
      <c r="AR40" s="16" t="s">
        <v>115</v>
      </c>
    </row>
    <row r="41" spans="1:44" x14ac:dyDescent="0.25">
      <c r="A41" s="20" t="s">
        <v>116</v>
      </c>
      <c r="B41" s="20">
        <v>14000</v>
      </c>
      <c r="C41" s="14"/>
      <c r="D41" s="15">
        <v>46268</v>
      </c>
      <c r="E41" s="14" t="s">
        <v>188</v>
      </c>
      <c r="F41" s="14"/>
      <c r="G41" s="14"/>
      <c r="H41" s="14"/>
      <c r="I41" s="14"/>
      <c r="J41" s="14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21"/>
      <c r="AE41" s="16"/>
      <c r="AF41" s="16"/>
      <c r="AG41" s="16"/>
      <c r="AH41" s="17">
        <v>46282</v>
      </c>
      <c r="AI41" s="16" t="s">
        <v>246</v>
      </c>
      <c r="AJ41" s="16">
        <v>10000</v>
      </c>
      <c r="AK41" s="16" t="s">
        <v>188</v>
      </c>
      <c r="AL41" s="16"/>
      <c r="AM41" s="17">
        <v>46272</v>
      </c>
      <c r="AN41" s="16" t="s">
        <v>321</v>
      </c>
      <c r="AO41" s="16">
        <v>13450</v>
      </c>
      <c r="AP41" s="16" t="s">
        <v>188</v>
      </c>
      <c r="AQ41" s="16"/>
      <c r="AR41" s="16"/>
    </row>
    <row r="42" spans="1:44" x14ac:dyDescent="0.25">
      <c r="A42" s="20" t="s">
        <v>117</v>
      </c>
      <c r="B42" s="20">
        <v>13000</v>
      </c>
      <c r="C42" s="14" t="s">
        <v>118</v>
      </c>
      <c r="D42" s="15">
        <v>46268</v>
      </c>
      <c r="E42" s="14" t="s">
        <v>188</v>
      </c>
      <c r="F42" s="14"/>
      <c r="G42" s="14"/>
      <c r="H42" s="14"/>
      <c r="I42" s="14"/>
      <c r="J42" s="14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7"/>
      <c r="AF42" s="16"/>
      <c r="AG42" s="16"/>
      <c r="AH42" s="17">
        <v>46289</v>
      </c>
      <c r="AI42" s="16" t="s">
        <v>343</v>
      </c>
      <c r="AJ42" s="16">
        <v>5000</v>
      </c>
      <c r="AK42" s="16" t="s">
        <v>188</v>
      </c>
      <c r="AL42" s="16"/>
      <c r="AM42" s="16"/>
      <c r="AN42" s="16"/>
      <c r="AO42" s="16"/>
      <c r="AP42" s="16"/>
      <c r="AQ42" s="16"/>
      <c r="AR42" s="16"/>
    </row>
    <row r="43" spans="1:44" x14ac:dyDescent="0.25">
      <c r="A43" s="20" t="s">
        <v>119</v>
      </c>
      <c r="B43" s="20">
        <v>10500</v>
      </c>
      <c r="C43" s="14"/>
      <c r="D43" s="15">
        <v>46268</v>
      </c>
      <c r="E43" s="14" t="s">
        <v>188</v>
      </c>
      <c r="F43" s="14"/>
      <c r="G43" s="14"/>
      <c r="H43" s="14"/>
      <c r="I43" s="14"/>
      <c r="J43" s="14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7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</row>
    <row r="44" spans="1:44" x14ac:dyDescent="0.25">
      <c r="A44" s="22" t="s">
        <v>120</v>
      </c>
      <c r="B44" s="22">
        <v>10500</v>
      </c>
      <c r="C44" s="14" t="s">
        <v>8</v>
      </c>
      <c r="D44" s="15">
        <v>46272</v>
      </c>
      <c r="E44" s="14" t="s">
        <v>188</v>
      </c>
      <c r="F44" s="14"/>
      <c r="G44" s="14"/>
      <c r="H44" s="14"/>
      <c r="I44" s="14"/>
      <c r="J44" s="14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7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</row>
    <row r="45" spans="1:44" x14ac:dyDescent="0.25">
      <c r="A45" s="23" t="s">
        <v>121</v>
      </c>
      <c r="B45" s="23">
        <v>9000</v>
      </c>
      <c r="C45" s="14"/>
      <c r="D45" s="15">
        <v>46273</v>
      </c>
      <c r="E45" s="14" t="s">
        <v>188</v>
      </c>
      <c r="F45" s="14"/>
      <c r="G45" s="14"/>
      <c r="H45" s="14"/>
      <c r="I45" s="14"/>
      <c r="J45" s="14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7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</row>
    <row r="46" spans="1:44" x14ac:dyDescent="0.25">
      <c r="A46" s="23" t="s">
        <v>122</v>
      </c>
      <c r="B46" s="23">
        <v>8750</v>
      </c>
      <c r="C46" s="14">
        <v>56</v>
      </c>
      <c r="D46" s="15">
        <v>46273</v>
      </c>
      <c r="E46" s="14" t="s">
        <v>188</v>
      </c>
      <c r="F46" s="14"/>
      <c r="G46" s="14"/>
      <c r="H46" s="14"/>
      <c r="I46" s="14"/>
      <c r="J46" s="14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</row>
    <row r="47" spans="1:44" x14ac:dyDescent="0.25">
      <c r="A47" s="24" t="s">
        <v>123</v>
      </c>
      <c r="B47" s="24">
        <v>5000</v>
      </c>
      <c r="C47" s="14" t="s">
        <v>12</v>
      </c>
      <c r="D47" s="15">
        <v>46274</v>
      </c>
      <c r="E47" s="14" t="s">
        <v>188</v>
      </c>
      <c r="F47" s="14"/>
      <c r="G47" s="14"/>
      <c r="H47" s="14"/>
      <c r="I47" s="14"/>
      <c r="J47" s="14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</row>
    <row r="48" spans="1:44" x14ac:dyDescent="0.25">
      <c r="A48" s="24" t="s">
        <v>124</v>
      </c>
      <c r="B48" s="24">
        <v>10000</v>
      </c>
      <c r="C48" s="14" t="s">
        <v>12</v>
      </c>
      <c r="D48" s="15">
        <v>46274</v>
      </c>
      <c r="E48" s="14" t="s">
        <v>188</v>
      </c>
      <c r="F48" s="14"/>
      <c r="G48" s="14"/>
      <c r="H48" s="14"/>
      <c r="I48" s="14"/>
      <c r="J48" s="14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</row>
    <row r="49" spans="1:44" x14ac:dyDescent="0.25">
      <c r="A49" s="16" t="s">
        <v>125</v>
      </c>
      <c r="B49" s="16">
        <v>11000</v>
      </c>
      <c r="C49" s="14" t="s">
        <v>126</v>
      </c>
      <c r="D49" s="15">
        <v>46267</v>
      </c>
      <c r="E49" s="14" t="s">
        <v>188</v>
      </c>
      <c r="F49" s="14"/>
      <c r="G49" s="14"/>
      <c r="H49" s="14"/>
      <c r="I49" s="14"/>
      <c r="J49" s="14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</row>
    <row r="50" spans="1:44" x14ac:dyDescent="0.25">
      <c r="A50" s="16" t="s">
        <v>128</v>
      </c>
      <c r="B50" s="16">
        <v>11000</v>
      </c>
      <c r="C50" s="14" t="s">
        <v>126</v>
      </c>
      <c r="D50" s="25">
        <v>46267</v>
      </c>
      <c r="E50" s="14" t="s">
        <v>188</v>
      </c>
      <c r="F50" s="14"/>
      <c r="G50" s="14"/>
      <c r="H50" s="14"/>
      <c r="I50" s="14"/>
      <c r="J50" s="14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</row>
    <row r="51" spans="1:44" x14ac:dyDescent="0.25">
      <c r="A51" s="16" t="s">
        <v>129</v>
      </c>
      <c r="B51" s="16">
        <v>50000</v>
      </c>
      <c r="C51" s="14">
        <v>50000</v>
      </c>
      <c r="D51" s="15">
        <v>46294</v>
      </c>
      <c r="E51" s="14" t="s">
        <v>188</v>
      </c>
      <c r="F51" s="14"/>
      <c r="G51" s="14"/>
      <c r="H51" s="14"/>
      <c r="I51" s="14"/>
      <c r="J51" s="14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</row>
    <row r="52" spans="1:44" x14ac:dyDescent="0.25">
      <c r="A52" s="16" t="s">
        <v>264</v>
      </c>
      <c r="B52" s="16">
        <v>750</v>
      </c>
      <c r="D52" s="15">
        <v>46282</v>
      </c>
      <c r="E52" s="14" t="s">
        <v>188</v>
      </c>
      <c r="F52" s="14"/>
      <c r="G52" s="14"/>
      <c r="H52" s="14"/>
      <c r="I52" s="14"/>
      <c r="J52" s="14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</row>
    <row r="53" spans="1:44" x14ac:dyDescent="0.25">
      <c r="A53" s="16" t="s">
        <v>130</v>
      </c>
      <c r="B53" s="26">
        <v>1600</v>
      </c>
      <c r="D53" s="15">
        <v>46270</v>
      </c>
      <c r="E53" s="14" t="s">
        <v>188</v>
      </c>
      <c r="F53" s="14"/>
      <c r="G53" s="14"/>
      <c r="H53" s="14"/>
      <c r="I53" s="14"/>
      <c r="J53" s="14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</row>
    <row r="54" spans="1:44" x14ac:dyDescent="0.25">
      <c r="A54" s="16" t="s">
        <v>131</v>
      </c>
      <c r="B54" s="16">
        <v>23000</v>
      </c>
      <c r="C54" s="14"/>
      <c r="D54" s="15">
        <v>46268</v>
      </c>
      <c r="E54" s="14" t="s">
        <v>188</v>
      </c>
      <c r="F54" s="14"/>
      <c r="G54" s="14"/>
      <c r="H54" s="14"/>
      <c r="I54" s="14"/>
      <c r="J54" s="14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</row>
    <row r="55" spans="1:44" x14ac:dyDescent="0.25">
      <c r="A55" s="16" t="s">
        <v>222</v>
      </c>
      <c r="B55" s="16">
        <v>2500</v>
      </c>
      <c r="C55" s="14" t="s">
        <v>253</v>
      </c>
      <c r="D55" s="15">
        <v>46270</v>
      </c>
      <c r="E55" s="14" t="s">
        <v>188</v>
      </c>
      <c r="F55" s="14"/>
      <c r="G55" s="14"/>
      <c r="H55" s="14"/>
      <c r="I55" s="14"/>
      <c r="J55" s="14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</row>
    <row r="56" spans="1:44" x14ac:dyDescent="0.25">
      <c r="A56" s="16" t="s">
        <v>222</v>
      </c>
      <c r="B56" s="16">
        <v>2500</v>
      </c>
      <c r="C56" s="14" t="s">
        <v>254</v>
      </c>
      <c r="D56" s="15">
        <v>46277</v>
      </c>
      <c r="E56" s="14" t="s">
        <v>188</v>
      </c>
      <c r="F56" s="14"/>
      <c r="G56" s="14"/>
      <c r="H56" s="14"/>
      <c r="I56" s="14"/>
      <c r="J56" s="14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</row>
    <row r="57" spans="1:44" x14ac:dyDescent="0.25">
      <c r="A57" s="16" t="s">
        <v>222</v>
      </c>
      <c r="B57" s="16">
        <v>2500</v>
      </c>
      <c r="C57" s="14" t="s">
        <v>255</v>
      </c>
      <c r="D57" s="15">
        <v>46284</v>
      </c>
      <c r="E57" s="14" t="s">
        <v>188</v>
      </c>
      <c r="F57" s="14"/>
      <c r="G57" s="14"/>
      <c r="H57" s="14"/>
      <c r="I57" s="14"/>
      <c r="J57" s="14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</row>
    <row r="58" spans="1:44" x14ac:dyDescent="0.25">
      <c r="A58" s="16" t="s">
        <v>222</v>
      </c>
      <c r="B58" s="16">
        <v>2500</v>
      </c>
      <c r="C58" s="14" t="s">
        <v>256</v>
      </c>
      <c r="D58" s="15">
        <v>46291</v>
      </c>
      <c r="E58" s="14" t="s">
        <v>188</v>
      </c>
      <c r="F58" s="14"/>
      <c r="G58" s="14"/>
      <c r="H58" s="14"/>
      <c r="I58" s="14"/>
      <c r="J58" s="14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</row>
    <row r="59" spans="1:44" x14ac:dyDescent="0.25">
      <c r="A59" s="16" t="s">
        <v>222</v>
      </c>
      <c r="B59" s="16">
        <v>2500</v>
      </c>
      <c r="C59" s="14" t="s">
        <v>272</v>
      </c>
      <c r="D59" s="15"/>
      <c r="E59" s="14"/>
      <c r="F59" s="14"/>
      <c r="G59" s="14"/>
      <c r="H59" s="14"/>
      <c r="I59" s="14"/>
      <c r="J59" s="14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</row>
    <row r="60" spans="1:44" x14ac:dyDescent="0.25">
      <c r="A60" s="16" t="s">
        <v>190</v>
      </c>
      <c r="B60" s="16">
        <v>10500</v>
      </c>
      <c r="C60" s="14"/>
      <c r="D60" s="15">
        <v>46268</v>
      </c>
      <c r="E60" s="14" t="s">
        <v>188</v>
      </c>
      <c r="F60" s="14"/>
      <c r="G60" s="14"/>
      <c r="H60" s="14"/>
      <c r="I60" s="14"/>
      <c r="J60" s="14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</row>
    <row r="61" spans="1:44" x14ac:dyDescent="0.25">
      <c r="A61" s="16" t="s">
        <v>220</v>
      </c>
      <c r="B61" s="16">
        <v>21000</v>
      </c>
      <c r="C61" s="14" t="s">
        <v>8</v>
      </c>
      <c r="D61" s="15"/>
      <c r="E61" s="14"/>
      <c r="F61" s="14"/>
      <c r="G61" s="14"/>
      <c r="H61" s="14"/>
      <c r="I61" s="14"/>
      <c r="J61" s="14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</row>
    <row r="62" spans="1:44" x14ac:dyDescent="0.25">
      <c r="A62" s="16" t="s">
        <v>221</v>
      </c>
      <c r="B62" s="16">
        <v>5000</v>
      </c>
      <c r="C62" s="14" t="s">
        <v>8</v>
      </c>
      <c r="D62" s="15"/>
      <c r="E62" s="14"/>
      <c r="F62" s="14"/>
      <c r="G62" s="14"/>
      <c r="H62" s="14"/>
      <c r="I62" s="14"/>
      <c r="J62" s="14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</row>
    <row r="63" spans="1:44" x14ac:dyDescent="0.25">
      <c r="A63" s="16" t="s">
        <v>235</v>
      </c>
      <c r="B63" s="16">
        <v>12000</v>
      </c>
      <c r="C63" s="14" t="s">
        <v>12</v>
      </c>
      <c r="D63" s="15">
        <v>46277</v>
      </c>
      <c r="E63" s="14" t="s">
        <v>188</v>
      </c>
      <c r="F63" s="14"/>
      <c r="G63" s="14"/>
      <c r="H63" s="14"/>
      <c r="I63" s="14"/>
      <c r="J63" s="14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</row>
    <row r="64" spans="1:44" x14ac:dyDescent="0.25">
      <c r="A64" s="80" t="s">
        <v>232</v>
      </c>
      <c r="B64" s="80">
        <f>SUM(B35:B63)</f>
        <v>293600</v>
      </c>
      <c r="C64" s="14"/>
      <c r="D64" s="14"/>
      <c r="E64" s="14"/>
      <c r="F64" s="14"/>
      <c r="G64" s="14"/>
      <c r="H64" s="14"/>
      <c r="I64" s="14"/>
      <c r="J64" s="14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</row>
    <row r="67" spans="1:37" x14ac:dyDescent="0.25">
      <c r="A67" s="16"/>
      <c r="B67" s="16"/>
      <c r="C67" s="14"/>
      <c r="D67" s="14"/>
      <c r="E67" s="14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</row>
    <row r="68" spans="1:37" x14ac:dyDescent="0.25">
      <c r="A68" s="16"/>
      <c r="B68" s="16"/>
      <c r="C68" s="14"/>
      <c r="D68" s="14"/>
      <c r="E68" s="14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</row>
    <row r="69" spans="1:37" x14ac:dyDescent="0.25">
      <c r="A69" s="32"/>
      <c r="B69" s="32"/>
      <c r="C69" s="32"/>
      <c r="D69" s="33"/>
      <c r="G69" s="12"/>
      <c r="H69" s="12"/>
    </row>
    <row r="70" spans="1:37" x14ac:dyDescent="0.25">
      <c r="A70" s="16"/>
      <c r="B70" s="16"/>
      <c r="C70" s="14"/>
      <c r="D70" s="14"/>
      <c r="E70" s="14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</row>
    <row r="71" spans="1:37" x14ac:dyDescent="0.25">
      <c r="A71" s="16"/>
      <c r="B71" s="16"/>
      <c r="C71" s="14"/>
      <c r="D71" s="14"/>
      <c r="E71" s="14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</row>
    <row r="72" spans="1:37" x14ac:dyDescent="0.25">
      <c r="A72" s="16"/>
      <c r="B72" s="16"/>
      <c r="C72" s="14"/>
      <c r="D72" s="14"/>
      <c r="E72" s="14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</row>
    <row r="73" spans="1:37" x14ac:dyDescent="0.25">
      <c r="A73" s="16"/>
      <c r="B73" s="16"/>
      <c r="C73" s="14"/>
      <c r="D73" s="14"/>
      <c r="E73" s="14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</row>
    <row r="74" spans="1:37" x14ac:dyDescent="0.25">
      <c r="A74" s="16"/>
      <c r="B74" s="16"/>
      <c r="C74" s="14"/>
      <c r="D74" s="14"/>
      <c r="E74" s="14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</row>
  </sheetData>
  <autoFilter ref="A1:G1" xr:uid="{00000000-0009-0000-0000-000002000000}"/>
  <mergeCells count="2">
    <mergeCell ref="A2:C2"/>
    <mergeCell ref="A34:C3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G92"/>
  <sheetViews>
    <sheetView showGridLines="0" zoomScale="115" zoomScaleNormal="115" workbookViewId="0">
      <selection activeCell="F19" sqref="F19"/>
    </sheetView>
  </sheetViews>
  <sheetFormatPr defaultColWidth="8.85546875" defaultRowHeight="15" x14ac:dyDescent="0.25"/>
  <cols>
    <col min="1" max="2" width="20.42578125" customWidth="1"/>
    <col min="3" max="7" width="15.42578125" customWidth="1"/>
    <col min="8" max="8" width="12.42578125" customWidth="1"/>
  </cols>
  <sheetData>
    <row r="1" spans="1:7" ht="30" customHeight="1" x14ac:dyDescent="0.25">
      <c r="B1" s="11" t="s">
        <v>218</v>
      </c>
      <c r="C1" s="38">
        <v>46277</v>
      </c>
    </row>
    <row r="2" spans="1:7" ht="30" customHeight="1" x14ac:dyDescent="0.25"/>
    <row r="3" spans="1:7" x14ac:dyDescent="0.25">
      <c r="A3" t="s">
        <v>210</v>
      </c>
      <c r="B3" t="s">
        <v>211</v>
      </c>
      <c r="C3" t="s">
        <v>212</v>
      </c>
      <c r="D3" t="s">
        <v>213</v>
      </c>
      <c r="E3" t="s">
        <v>132</v>
      </c>
      <c r="F3" t="s">
        <v>133</v>
      </c>
      <c r="G3" t="s">
        <v>206</v>
      </c>
    </row>
    <row r="4" spans="1:7" x14ac:dyDescent="0.25">
      <c r="A4" t="s">
        <v>135</v>
      </c>
      <c r="B4" t="s">
        <v>138</v>
      </c>
    </row>
    <row r="5" spans="1:7" x14ac:dyDescent="0.25">
      <c r="B5" t="s">
        <v>136</v>
      </c>
    </row>
    <row r="6" spans="1:7" x14ac:dyDescent="0.25">
      <c r="B6" t="s">
        <v>139</v>
      </c>
    </row>
    <row r="7" spans="1:7" x14ac:dyDescent="0.25">
      <c r="B7" t="s">
        <v>137</v>
      </c>
    </row>
    <row r="8" spans="1:7" x14ac:dyDescent="0.25">
      <c r="A8" t="s">
        <v>312</v>
      </c>
      <c r="B8" t="s">
        <v>279</v>
      </c>
    </row>
    <row r="9" spans="1:7" x14ac:dyDescent="0.25">
      <c r="B9" t="s">
        <v>280</v>
      </c>
    </row>
    <row r="10" spans="1:7" x14ac:dyDescent="0.25">
      <c r="B10" t="s">
        <v>281</v>
      </c>
    </row>
    <row r="11" spans="1:7" x14ac:dyDescent="0.25">
      <c r="B11" t="s">
        <v>146</v>
      </c>
    </row>
    <row r="12" spans="1:7" x14ac:dyDescent="0.25">
      <c r="B12" t="s">
        <v>148</v>
      </c>
    </row>
    <row r="13" spans="1:7" x14ac:dyDescent="0.25">
      <c r="B13" t="s">
        <v>142</v>
      </c>
    </row>
    <row r="14" spans="1:7" x14ac:dyDescent="0.25">
      <c r="B14" t="s">
        <v>282</v>
      </c>
    </row>
    <row r="15" spans="1:7" x14ac:dyDescent="0.25">
      <c r="B15" t="s">
        <v>147</v>
      </c>
    </row>
    <row r="16" spans="1:7" x14ac:dyDescent="0.25">
      <c r="B16" t="s">
        <v>283</v>
      </c>
    </row>
    <row r="17" spans="1:7" x14ac:dyDescent="0.25">
      <c r="B17" t="s">
        <v>284</v>
      </c>
    </row>
    <row r="18" spans="1:7" x14ac:dyDescent="0.25">
      <c r="B18" t="s">
        <v>143</v>
      </c>
    </row>
    <row r="19" spans="1:7" x14ac:dyDescent="0.25">
      <c r="B19" t="s">
        <v>145</v>
      </c>
    </row>
    <row r="20" spans="1:7" x14ac:dyDescent="0.25">
      <c r="B20" t="s">
        <v>141</v>
      </c>
    </row>
    <row r="21" spans="1:7" x14ac:dyDescent="0.25">
      <c r="B21" t="s">
        <v>144</v>
      </c>
    </row>
    <row r="22" spans="1:7" x14ac:dyDescent="0.25">
      <c r="B22" t="s">
        <v>285</v>
      </c>
    </row>
    <row r="23" spans="1:7" x14ac:dyDescent="0.25">
      <c r="B23" t="s">
        <v>286</v>
      </c>
    </row>
    <row r="24" spans="1:7" x14ac:dyDescent="0.25">
      <c r="B24" t="s">
        <v>278</v>
      </c>
    </row>
    <row r="25" spans="1:7" x14ac:dyDescent="0.25">
      <c r="B25" t="s">
        <v>287</v>
      </c>
    </row>
    <row r="26" spans="1:7" x14ac:dyDescent="0.25">
      <c r="B26" t="s">
        <v>288</v>
      </c>
    </row>
    <row r="27" spans="1:7" x14ac:dyDescent="0.25">
      <c r="A27" t="s">
        <v>149</v>
      </c>
      <c r="B27" t="s">
        <v>214</v>
      </c>
      <c r="C27">
        <v>6.5</v>
      </c>
      <c r="E27">
        <v>320</v>
      </c>
      <c r="G27">
        <v>2080</v>
      </c>
    </row>
    <row r="28" spans="1:7" x14ac:dyDescent="0.25">
      <c r="B28" t="s">
        <v>150</v>
      </c>
      <c r="C28">
        <v>3</v>
      </c>
      <c r="E28">
        <v>420</v>
      </c>
      <c r="G28">
        <v>1260</v>
      </c>
    </row>
    <row r="29" spans="1:7" x14ac:dyDescent="0.25">
      <c r="B29" t="s">
        <v>217</v>
      </c>
    </row>
    <row r="30" spans="1:7" x14ac:dyDescent="0.25">
      <c r="B30" t="s">
        <v>216</v>
      </c>
    </row>
    <row r="31" spans="1:7" x14ac:dyDescent="0.25">
      <c r="B31" t="s">
        <v>154</v>
      </c>
    </row>
    <row r="32" spans="1:7" x14ac:dyDescent="0.25">
      <c r="B32" t="s">
        <v>153</v>
      </c>
    </row>
    <row r="33" spans="1:2" x14ac:dyDescent="0.25">
      <c r="B33" t="s">
        <v>152</v>
      </c>
    </row>
    <row r="34" spans="1:2" x14ac:dyDescent="0.25">
      <c r="A34" t="s">
        <v>155</v>
      </c>
      <c r="B34" t="s">
        <v>134</v>
      </c>
    </row>
    <row r="35" spans="1:2" x14ac:dyDescent="0.25">
      <c r="B35" t="s">
        <v>156</v>
      </c>
    </row>
    <row r="36" spans="1:2" x14ac:dyDescent="0.25">
      <c r="B36" t="s">
        <v>159</v>
      </c>
    </row>
    <row r="37" spans="1:2" x14ac:dyDescent="0.25">
      <c r="B37" t="s">
        <v>158</v>
      </c>
    </row>
    <row r="38" spans="1:2" x14ac:dyDescent="0.25">
      <c r="B38" t="s">
        <v>289</v>
      </c>
    </row>
    <row r="39" spans="1:2" x14ac:dyDescent="0.25">
      <c r="B39" t="s">
        <v>157</v>
      </c>
    </row>
    <row r="40" spans="1:2" x14ac:dyDescent="0.25">
      <c r="A40" t="s">
        <v>160</v>
      </c>
      <c r="B40" t="s">
        <v>164</v>
      </c>
    </row>
    <row r="41" spans="1:2" x14ac:dyDescent="0.25">
      <c r="B41" t="s">
        <v>215</v>
      </c>
    </row>
    <row r="42" spans="1:2" x14ac:dyDescent="0.25">
      <c r="B42" t="s">
        <v>165</v>
      </c>
    </row>
    <row r="43" spans="1:2" x14ac:dyDescent="0.25">
      <c r="B43" t="s">
        <v>162</v>
      </c>
    </row>
    <row r="44" spans="1:2" x14ac:dyDescent="0.25">
      <c r="B44" t="s">
        <v>163</v>
      </c>
    </row>
    <row r="45" spans="1:2" x14ac:dyDescent="0.25">
      <c r="A45" t="s">
        <v>166</v>
      </c>
      <c r="B45" t="s">
        <v>290</v>
      </c>
    </row>
    <row r="46" spans="1:2" x14ac:dyDescent="0.25">
      <c r="B46" t="s">
        <v>167</v>
      </c>
    </row>
    <row r="47" spans="1:2" x14ac:dyDescent="0.25">
      <c r="B47" t="s">
        <v>291</v>
      </c>
    </row>
    <row r="48" spans="1:2" x14ac:dyDescent="0.25">
      <c r="B48" t="s">
        <v>169</v>
      </c>
    </row>
    <row r="49" spans="1:7" x14ac:dyDescent="0.25">
      <c r="B49" t="s">
        <v>170</v>
      </c>
    </row>
    <row r="50" spans="1:7" x14ac:dyDescent="0.25">
      <c r="B50" t="s">
        <v>292</v>
      </c>
    </row>
    <row r="51" spans="1:7" x14ac:dyDescent="0.25">
      <c r="B51" t="s">
        <v>171</v>
      </c>
    </row>
    <row r="52" spans="1:7" x14ac:dyDescent="0.25">
      <c r="B52" t="s">
        <v>172</v>
      </c>
    </row>
    <row r="53" spans="1:7" x14ac:dyDescent="0.25">
      <c r="B53" t="s">
        <v>168</v>
      </c>
    </row>
    <row r="54" spans="1:7" x14ac:dyDescent="0.25">
      <c r="A54" t="s">
        <v>173</v>
      </c>
      <c r="B54" t="s">
        <v>191</v>
      </c>
    </row>
    <row r="55" spans="1:7" x14ac:dyDescent="0.25">
      <c r="B55" t="s">
        <v>195</v>
      </c>
    </row>
    <row r="56" spans="1:7" x14ac:dyDescent="0.25">
      <c r="A56" s="34"/>
      <c r="B56" s="35" t="s">
        <v>317</v>
      </c>
      <c r="C56" s="35"/>
      <c r="D56" s="35"/>
      <c r="E56" s="35"/>
      <c r="F56" s="35"/>
      <c r="G56" s="36"/>
    </row>
    <row r="57" spans="1:7" x14ac:dyDescent="0.25">
      <c r="A57" s="34"/>
      <c r="B57" s="35" t="s">
        <v>293</v>
      </c>
      <c r="C57" s="35"/>
      <c r="D57" s="35"/>
      <c r="E57" s="35"/>
      <c r="F57" s="35"/>
      <c r="G57" s="36"/>
    </row>
    <row r="58" spans="1:7" x14ac:dyDescent="0.25">
      <c r="A58" s="34"/>
      <c r="B58" s="35" t="s">
        <v>193</v>
      </c>
      <c r="C58" s="35"/>
      <c r="D58" s="35"/>
      <c r="E58" s="35"/>
      <c r="F58" s="35"/>
      <c r="G58" s="36"/>
    </row>
    <row r="59" spans="1:7" x14ac:dyDescent="0.25">
      <c r="B59" s="35" t="s">
        <v>294</v>
      </c>
      <c r="C59" s="35"/>
      <c r="D59" s="35"/>
      <c r="E59" s="35"/>
      <c r="F59" s="35"/>
      <c r="G59" s="36"/>
    </row>
    <row r="60" spans="1:7" x14ac:dyDescent="0.25">
      <c r="B60" s="35" t="s">
        <v>295</v>
      </c>
      <c r="C60" s="35"/>
      <c r="D60" s="35"/>
      <c r="E60" s="35"/>
      <c r="F60" s="35"/>
      <c r="G60" s="36"/>
    </row>
    <row r="61" spans="1:7" x14ac:dyDescent="0.25">
      <c r="B61" s="35" t="s">
        <v>296</v>
      </c>
      <c r="C61" s="35"/>
      <c r="D61" s="35"/>
      <c r="E61" s="35"/>
      <c r="F61" s="35"/>
      <c r="G61" s="36"/>
    </row>
    <row r="62" spans="1:7" x14ac:dyDescent="0.25">
      <c r="B62" s="35" t="s">
        <v>297</v>
      </c>
      <c r="C62" s="35"/>
      <c r="D62" s="35"/>
      <c r="E62" s="35"/>
      <c r="F62" s="35"/>
      <c r="G62" s="36"/>
    </row>
    <row r="63" spans="1:7" x14ac:dyDescent="0.25">
      <c r="B63" s="35" t="s">
        <v>192</v>
      </c>
      <c r="C63" s="35"/>
      <c r="D63" s="35"/>
      <c r="E63" s="35"/>
      <c r="F63" s="35"/>
      <c r="G63" s="36"/>
    </row>
    <row r="64" spans="1:7" x14ac:dyDescent="0.25">
      <c r="B64" s="51" t="s">
        <v>298</v>
      </c>
      <c r="C64" s="51"/>
      <c r="D64" s="51"/>
      <c r="E64" s="51"/>
      <c r="F64" s="51"/>
      <c r="G64" s="51"/>
    </row>
    <row r="65" spans="1:7" x14ac:dyDescent="0.25">
      <c r="A65" t="s">
        <v>175</v>
      </c>
      <c r="B65" s="51" t="s">
        <v>177</v>
      </c>
      <c r="C65" s="51"/>
      <c r="D65" s="51"/>
      <c r="E65" s="51"/>
      <c r="F65" s="51"/>
      <c r="G65" s="51"/>
    </row>
    <row r="66" spans="1:7" x14ac:dyDescent="0.25">
      <c r="B66" s="51" t="s">
        <v>176</v>
      </c>
      <c r="C66" s="51"/>
      <c r="D66" s="51"/>
      <c r="E66" s="51"/>
      <c r="F66" s="51"/>
      <c r="G66" s="51"/>
    </row>
    <row r="67" spans="1:7" x14ac:dyDescent="0.25">
      <c r="A67" t="s">
        <v>178</v>
      </c>
      <c r="B67" s="51" t="s">
        <v>181</v>
      </c>
      <c r="C67" s="51"/>
      <c r="D67" s="51"/>
      <c r="E67" s="51"/>
      <c r="F67" s="51"/>
      <c r="G67" s="51"/>
    </row>
    <row r="68" spans="1:7" x14ac:dyDescent="0.25">
      <c r="B68" s="51" t="s">
        <v>179</v>
      </c>
      <c r="C68" s="51"/>
      <c r="D68" s="51"/>
      <c r="E68" s="51"/>
      <c r="F68" s="51"/>
      <c r="G68" s="51"/>
    </row>
    <row r="69" spans="1:7" x14ac:dyDescent="0.25">
      <c r="B69" s="51" t="s">
        <v>182</v>
      </c>
      <c r="C69" s="51"/>
      <c r="D69" s="51"/>
      <c r="E69" s="51"/>
      <c r="F69" s="51"/>
      <c r="G69" s="51"/>
    </row>
    <row r="70" spans="1:7" x14ac:dyDescent="0.25">
      <c r="B70" s="51" t="s">
        <v>180</v>
      </c>
      <c r="C70" s="51"/>
      <c r="D70" s="51"/>
      <c r="E70" s="51"/>
      <c r="F70" s="51"/>
      <c r="G70" s="51"/>
    </row>
    <row r="71" spans="1:7" x14ac:dyDescent="0.25">
      <c r="A71" t="s">
        <v>197</v>
      </c>
      <c r="B71" s="51" t="s">
        <v>199</v>
      </c>
      <c r="C71" s="51"/>
      <c r="D71" s="51"/>
      <c r="E71" s="51"/>
      <c r="F71" s="51"/>
      <c r="G71" s="51"/>
    </row>
    <row r="72" spans="1:7" x14ac:dyDescent="0.25">
      <c r="B72" s="51" t="s">
        <v>299</v>
      </c>
      <c r="C72" s="51"/>
      <c r="D72" s="51"/>
      <c r="E72" s="51"/>
      <c r="F72" s="51"/>
      <c r="G72" s="51"/>
    </row>
    <row r="73" spans="1:7" x14ac:dyDescent="0.25">
      <c r="B73" s="51" t="s">
        <v>301</v>
      </c>
      <c r="C73" s="51"/>
      <c r="D73" s="51"/>
      <c r="E73" s="51"/>
      <c r="F73" s="51"/>
      <c r="G73" s="51"/>
    </row>
    <row r="74" spans="1:7" x14ac:dyDescent="0.25">
      <c r="B74" s="51" t="s">
        <v>302</v>
      </c>
      <c r="C74" s="51"/>
      <c r="D74" s="51"/>
      <c r="E74" s="51"/>
      <c r="F74" s="51"/>
      <c r="G74" s="51"/>
    </row>
    <row r="75" spans="1:7" x14ac:dyDescent="0.25">
      <c r="B75" s="51" t="s">
        <v>198</v>
      </c>
      <c r="C75" s="51"/>
      <c r="D75" s="51"/>
      <c r="E75" s="51"/>
      <c r="F75" s="51"/>
      <c r="G75" s="51"/>
    </row>
    <row r="76" spans="1:7" x14ac:dyDescent="0.25">
      <c r="B76" s="51" t="s">
        <v>303</v>
      </c>
      <c r="C76" s="51"/>
      <c r="D76" s="51"/>
      <c r="E76" s="51"/>
      <c r="F76" s="51"/>
      <c r="G76" s="51"/>
    </row>
    <row r="77" spans="1:7" x14ac:dyDescent="0.25">
      <c r="B77" s="51" t="s">
        <v>304</v>
      </c>
      <c r="C77" s="51"/>
      <c r="D77" s="51"/>
      <c r="E77" s="51"/>
      <c r="F77" s="51"/>
      <c r="G77" s="51"/>
    </row>
    <row r="78" spans="1:7" x14ac:dyDescent="0.25">
      <c r="B78" s="51" t="s">
        <v>200</v>
      </c>
      <c r="C78" s="51"/>
      <c r="D78" s="51"/>
      <c r="E78" s="51"/>
      <c r="F78" s="51"/>
      <c r="G78" s="51"/>
    </row>
    <row r="79" spans="1:7" x14ac:dyDescent="0.25">
      <c r="B79" s="51" t="s">
        <v>300</v>
      </c>
      <c r="C79" s="51"/>
      <c r="D79" s="51"/>
      <c r="E79" s="51"/>
      <c r="F79" s="51"/>
      <c r="G79" s="51"/>
    </row>
    <row r="80" spans="1:7" x14ac:dyDescent="0.25">
      <c r="B80" s="51" t="s">
        <v>305</v>
      </c>
      <c r="C80" s="51"/>
      <c r="D80" s="51"/>
      <c r="E80" s="51"/>
      <c r="F80" s="51"/>
      <c r="G80" s="51"/>
    </row>
    <row r="81" spans="1:7" x14ac:dyDescent="0.25">
      <c r="B81" s="51" t="s">
        <v>306</v>
      </c>
      <c r="C81" s="51"/>
      <c r="D81" s="51"/>
      <c r="E81" s="51"/>
      <c r="F81" s="51"/>
      <c r="G81" s="51"/>
    </row>
    <row r="82" spans="1:7" x14ac:dyDescent="0.25">
      <c r="A82" t="s">
        <v>202</v>
      </c>
      <c r="B82" s="51" t="s">
        <v>238</v>
      </c>
      <c r="C82" s="51"/>
      <c r="D82" s="51"/>
      <c r="E82" s="51"/>
      <c r="F82" s="51"/>
      <c r="G82" s="51"/>
    </row>
    <row r="83" spans="1:7" x14ac:dyDescent="0.25">
      <c r="B83" s="51" t="s">
        <v>247</v>
      </c>
      <c r="C83" s="51"/>
      <c r="D83" s="51"/>
      <c r="E83" s="51"/>
      <c r="F83" s="51"/>
      <c r="G83" s="51"/>
    </row>
    <row r="84" spans="1:7" x14ac:dyDescent="0.25">
      <c r="B84" s="51" t="s">
        <v>251</v>
      </c>
      <c r="C84" s="51"/>
      <c r="D84" s="51"/>
      <c r="E84" s="51"/>
      <c r="F84" s="51"/>
      <c r="G84" s="51"/>
    </row>
    <row r="85" spans="1:7" x14ac:dyDescent="0.25">
      <c r="B85" s="51" t="s">
        <v>260</v>
      </c>
      <c r="C85" s="51"/>
      <c r="D85" s="51"/>
      <c r="E85" s="51"/>
      <c r="F85" s="51"/>
      <c r="G85" s="51"/>
    </row>
    <row r="86" spans="1:7" x14ac:dyDescent="0.25">
      <c r="B86" s="51" t="s">
        <v>201</v>
      </c>
      <c r="C86" s="51"/>
      <c r="D86" s="51"/>
      <c r="E86" s="51"/>
      <c r="F86" s="51"/>
      <c r="G86" s="51"/>
    </row>
    <row r="87" spans="1:7" x14ac:dyDescent="0.25">
      <c r="B87" s="51" t="s">
        <v>203</v>
      </c>
      <c r="C87" s="51"/>
      <c r="D87" s="51"/>
      <c r="E87" s="51"/>
      <c r="F87" s="51"/>
      <c r="G87" s="51"/>
    </row>
    <row r="88" spans="1:7" x14ac:dyDescent="0.25">
      <c r="B88" s="51" t="s">
        <v>239</v>
      </c>
      <c r="C88" s="51"/>
      <c r="D88" s="51"/>
      <c r="E88" s="51"/>
      <c r="F88" s="51"/>
      <c r="G88" s="51"/>
    </row>
    <row r="89" spans="1:7" x14ac:dyDescent="0.25">
      <c r="B89" s="51" t="s">
        <v>250</v>
      </c>
      <c r="C89" s="51"/>
      <c r="D89" s="51"/>
      <c r="E89" s="51"/>
      <c r="F89" s="51"/>
      <c r="G89" s="51"/>
    </row>
    <row r="90" spans="1:7" x14ac:dyDescent="0.25">
      <c r="B90" s="51" t="s">
        <v>240</v>
      </c>
      <c r="C90" s="51"/>
      <c r="D90" s="51"/>
      <c r="E90" s="51"/>
      <c r="F90" s="51"/>
      <c r="G90" s="51"/>
    </row>
    <row r="91" spans="1:7" x14ac:dyDescent="0.25">
      <c r="B91" s="51" t="s">
        <v>248</v>
      </c>
      <c r="C91" s="51"/>
      <c r="D91" s="51"/>
      <c r="E91" s="51"/>
      <c r="F91" s="51"/>
      <c r="G91" s="51"/>
    </row>
    <row r="92" spans="1:7" x14ac:dyDescent="0.25">
      <c r="B92" s="51" t="s">
        <v>270</v>
      </c>
      <c r="C92" s="51"/>
      <c r="D92" s="51"/>
      <c r="E92" s="51"/>
      <c r="F92" s="51"/>
      <c r="G92" s="51"/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K92"/>
  <sheetViews>
    <sheetView topLeftCell="A73" zoomScale="85" zoomScaleNormal="85" workbookViewId="0">
      <selection activeCell="E86" sqref="E86"/>
    </sheetView>
  </sheetViews>
  <sheetFormatPr defaultColWidth="8.85546875" defaultRowHeight="15" x14ac:dyDescent="0.25"/>
  <cols>
    <col min="1" max="1" width="12.42578125" style="37" customWidth="1"/>
    <col min="2" max="3" width="20.42578125" customWidth="1"/>
    <col min="4" max="8" width="12.42578125" customWidth="1"/>
    <col min="10" max="10" width="13.28515625" bestFit="1" customWidth="1"/>
    <col min="11" max="11" width="22.42578125" bestFit="1" customWidth="1"/>
  </cols>
  <sheetData>
    <row r="1" spans="1:11" x14ac:dyDescent="0.25">
      <c r="A1" s="37" t="s">
        <v>70</v>
      </c>
      <c r="B1" t="s">
        <v>210</v>
      </c>
      <c r="C1" t="s">
        <v>211</v>
      </c>
      <c r="D1" t="s">
        <v>212</v>
      </c>
      <c r="E1" t="s">
        <v>213</v>
      </c>
      <c r="F1" t="s">
        <v>132</v>
      </c>
      <c r="G1" t="s">
        <v>133</v>
      </c>
      <c r="H1" t="s">
        <v>206</v>
      </c>
    </row>
    <row r="2" spans="1:11" x14ac:dyDescent="0.25">
      <c r="A2" s="37">
        <v>46239</v>
      </c>
      <c r="B2" t="s">
        <v>134</v>
      </c>
      <c r="G2">
        <v>110</v>
      </c>
      <c r="J2" s="52" t="s">
        <v>307</v>
      </c>
      <c r="K2" t="s">
        <v>308</v>
      </c>
    </row>
    <row r="3" spans="1:11" x14ac:dyDescent="0.25">
      <c r="A3" s="37">
        <v>46239</v>
      </c>
      <c r="B3" t="s">
        <v>135</v>
      </c>
      <c r="C3" t="s">
        <v>136</v>
      </c>
      <c r="J3" s="53" t="s">
        <v>309</v>
      </c>
      <c r="K3" s="10"/>
    </row>
    <row r="4" spans="1:11" x14ac:dyDescent="0.25">
      <c r="A4" s="37">
        <v>46239</v>
      </c>
      <c r="C4" t="s">
        <v>137</v>
      </c>
      <c r="J4" s="53" t="s">
        <v>310</v>
      </c>
      <c r="K4" s="10">
        <v>114242</v>
      </c>
    </row>
    <row r="5" spans="1:11" x14ac:dyDescent="0.25">
      <c r="A5" s="37">
        <v>46239</v>
      </c>
      <c r="C5" t="s">
        <v>138</v>
      </c>
      <c r="J5" s="53" t="s">
        <v>311</v>
      </c>
      <c r="K5" s="10">
        <v>3400</v>
      </c>
    </row>
    <row r="6" spans="1:11" x14ac:dyDescent="0.25">
      <c r="A6" s="37">
        <v>46239</v>
      </c>
      <c r="C6" t="s">
        <v>139</v>
      </c>
      <c r="J6" s="53" t="s">
        <v>69</v>
      </c>
      <c r="K6" s="10">
        <v>117642</v>
      </c>
    </row>
    <row r="7" spans="1:11" x14ac:dyDescent="0.25">
      <c r="A7" s="37">
        <v>46239</v>
      </c>
      <c r="B7" t="s">
        <v>140</v>
      </c>
      <c r="C7" t="s">
        <v>141</v>
      </c>
    </row>
    <row r="8" spans="1:11" x14ac:dyDescent="0.25">
      <c r="A8" s="37">
        <v>46239</v>
      </c>
      <c r="C8" t="s">
        <v>142</v>
      </c>
    </row>
    <row r="9" spans="1:11" x14ac:dyDescent="0.25">
      <c r="A9" s="37">
        <v>46239</v>
      </c>
      <c r="C9" t="s">
        <v>143</v>
      </c>
    </row>
    <row r="10" spans="1:11" x14ac:dyDescent="0.25">
      <c r="A10" s="37">
        <v>46239</v>
      </c>
      <c r="C10" t="s">
        <v>144</v>
      </c>
    </row>
    <row r="11" spans="1:11" x14ac:dyDescent="0.25">
      <c r="A11" s="37">
        <v>46239</v>
      </c>
      <c r="C11" t="s">
        <v>145</v>
      </c>
    </row>
    <row r="12" spans="1:11" x14ac:dyDescent="0.25">
      <c r="A12" s="37">
        <v>46239</v>
      </c>
      <c r="C12" t="s">
        <v>146</v>
      </c>
    </row>
    <row r="13" spans="1:11" x14ac:dyDescent="0.25">
      <c r="A13" s="37">
        <v>46239</v>
      </c>
      <c r="C13" t="s">
        <v>147</v>
      </c>
    </row>
    <row r="14" spans="1:11" x14ac:dyDescent="0.25">
      <c r="A14" s="37">
        <v>46239</v>
      </c>
      <c r="C14" t="s">
        <v>148</v>
      </c>
    </row>
    <row r="15" spans="1:11" x14ac:dyDescent="0.25">
      <c r="A15" s="37">
        <v>46239</v>
      </c>
      <c r="B15" t="s">
        <v>149</v>
      </c>
      <c r="C15" t="s">
        <v>150</v>
      </c>
      <c r="D15">
        <v>5</v>
      </c>
      <c r="F15">
        <v>400</v>
      </c>
      <c r="H15">
        <v>2000</v>
      </c>
    </row>
    <row r="16" spans="1:11" x14ac:dyDescent="0.25">
      <c r="A16" s="37">
        <v>46239</v>
      </c>
      <c r="C16" t="s">
        <v>151</v>
      </c>
      <c r="D16">
        <v>10</v>
      </c>
      <c r="F16">
        <v>300</v>
      </c>
      <c r="H16">
        <v>3000</v>
      </c>
    </row>
    <row r="17" spans="1:3" x14ac:dyDescent="0.25">
      <c r="A17" s="37">
        <v>46239</v>
      </c>
      <c r="C17" t="s">
        <v>216</v>
      </c>
    </row>
    <row r="18" spans="1:3" x14ac:dyDescent="0.25">
      <c r="A18" s="37">
        <v>46239</v>
      </c>
      <c r="C18" t="s">
        <v>217</v>
      </c>
    </row>
    <row r="19" spans="1:3" x14ac:dyDescent="0.25">
      <c r="A19" s="37">
        <v>46239</v>
      </c>
      <c r="C19" t="s">
        <v>152</v>
      </c>
    </row>
    <row r="20" spans="1:3" x14ac:dyDescent="0.25">
      <c r="A20" s="37">
        <v>46239</v>
      </c>
      <c r="C20" t="s">
        <v>153</v>
      </c>
    </row>
    <row r="21" spans="1:3" x14ac:dyDescent="0.25">
      <c r="A21" s="37">
        <v>46239</v>
      </c>
      <c r="C21" t="s">
        <v>154</v>
      </c>
    </row>
    <row r="22" spans="1:3" x14ac:dyDescent="0.25">
      <c r="A22" s="37">
        <v>46239</v>
      </c>
      <c r="B22" t="s">
        <v>155</v>
      </c>
      <c r="C22" t="s">
        <v>134</v>
      </c>
    </row>
    <row r="23" spans="1:3" x14ac:dyDescent="0.25">
      <c r="A23" s="37">
        <v>46239</v>
      </c>
      <c r="C23" t="s">
        <v>156</v>
      </c>
    </row>
    <row r="24" spans="1:3" x14ac:dyDescent="0.25">
      <c r="A24" s="37">
        <v>46239</v>
      </c>
      <c r="C24" t="s">
        <v>157</v>
      </c>
    </row>
    <row r="25" spans="1:3" x14ac:dyDescent="0.25">
      <c r="A25" s="37">
        <v>46239</v>
      </c>
      <c r="C25" t="s">
        <v>158</v>
      </c>
    </row>
    <row r="26" spans="1:3" x14ac:dyDescent="0.25">
      <c r="A26" s="37">
        <v>46239</v>
      </c>
      <c r="C26" t="s">
        <v>159</v>
      </c>
    </row>
    <row r="27" spans="1:3" x14ac:dyDescent="0.25">
      <c r="A27" s="37">
        <v>46239</v>
      </c>
      <c r="B27" t="s">
        <v>160</v>
      </c>
      <c r="C27" t="s">
        <v>161</v>
      </c>
    </row>
    <row r="28" spans="1:3" x14ac:dyDescent="0.25">
      <c r="A28" s="37">
        <v>46239</v>
      </c>
      <c r="C28" t="s">
        <v>162</v>
      </c>
    </row>
    <row r="29" spans="1:3" x14ac:dyDescent="0.25">
      <c r="A29" s="37">
        <v>46239</v>
      </c>
      <c r="C29" t="s">
        <v>163</v>
      </c>
    </row>
    <row r="30" spans="1:3" x14ac:dyDescent="0.25">
      <c r="A30" s="37">
        <v>46239</v>
      </c>
      <c r="C30" t="s">
        <v>164</v>
      </c>
    </row>
    <row r="31" spans="1:3" x14ac:dyDescent="0.25">
      <c r="A31" s="37">
        <v>46239</v>
      </c>
      <c r="C31" t="s">
        <v>165</v>
      </c>
    </row>
    <row r="32" spans="1:3" x14ac:dyDescent="0.25">
      <c r="A32" s="37">
        <v>46239</v>
      </c>
      <c r="B32" t="s">
        <v>166</v>
      </c>
      <c r="C32" t="s">
        <v>167</v>
      </c>
    </row>
    <row r="33" spans="1:8" x14ac:dyDescent="0.25">
      <c r="A33" s="37">
        <v>46239</v>
      </c>
      <c r="C33" t="s">
        <v>168</v>
      </c>
    </row>
    <row r="34" spans="1:8" x14ac:dyDescent="0.25">
      <c r="A34" s="37">
        <v>46239</v>
      </c>
      <c r="C34" t="s">
        <v>169</v>
      </c>
    </row>
    <row r="35" spans="1:8" x14ac:dyDescent="0.25">
      <c r="A35" s="37">
        <v>46239</v>
      </c>
      <c r="C35" t="s">
        <v>170</v>
      </c>
    </row>
    <row r="36" spans="1:8" x14ac:dyDescent="0.25">
      <c r="A36" s="37">
        <v>46239</v>
      </c>
      <c r="C36" t="s">
        <v>171</v>
      </c>
    </row>
    <row r="37" spans="1:8" x14ac:dyDescent="0.25">
      <c r="A37" s="37">
        <v>46239</v>
      </c>
      <c r="C37" t="s">
        <v>172</v>
      </c>
    </row>
    <row r="38" spans="1:8" x14ac:dyDescent="0.25">
      <c r="A38" s="37">
        <v>46239</v>
      </c>
      <c r="B38" t="s">
        <v>173</v>
      </c>
      <c r="C38" t="s">
        <v>174</v>
      </c>
    </row>
    <row r="39" spans="1:8" x14ac:dyDescent="0.25">
      <c r="A39" s="37">
        <v>46239</v>
      </c>
      <c r="C39" t="s">
        <v>191</v>
      </c>
      <c r="D39">
        <v>0.7</v>
      </c>
      <c r="F39">
        <v>400</v>
      </c>
      <c r="H39">
        <v>280</v>
      </c>
    </row>
    <row r="40" spans="1:8" x14ac:dyDescent="0.25">
      <c r="A40" s="37">
        <v>46239</v>
      </c>
      <c r="C40" t="s">
        <v>192</v>
      </c>
      <c r="D40">
        <v>1</v>
      </c>
      <c r="F40">
        <v>220</v>
      </c>
      <c r="H40">
        <v>220</v>
      </c>
    </row>
    <row r="41" spans="1:8" x14ac:dyDescent="0.25">
      <c r="A41" s="37">
        <v>46239</v>
      </c>
      <c r="C41" t="s">
        <v>193</v>
      </c>
      <c r="E41" t="s">
        <v>194</v>
      </c>
      <c r="F41">
        <v>5</v>
      </c>
      <c r="H41">
        <v>45</v>
      </c>
    </row>
    <row r="42" spans="1:8" x14ac:dyDescent="0.25">
      <c r="A42" s="37">
        <v>46239</v>
      </c>
      <c r="C42" t="s">
        <v>195</v>
      </c>
      <c r="E42" t="s">
        <v>196</v>
      </c>
      <c r="F42">
        <v>5</v>
      </c>
      <c r="H42">
        <v>60</v>
      </c>
    </row>
    <row r="43" spans="1:8" x14ac:dyDescent="0.25">
      <c r="A43" s="37">
        <v>46239</v>
      </c>
      <c r="B43" t="s">
        <v>175</v>
      </c>
      <c r="C43" t="s">
        <v>176</v>
      </c>
    </row>
    <row r="44" spans="1:8" x14ac:dyDescent="0.25">
      <c r="A44" s="37">
        <v>46239</v>
      </c>
      <c r="C44" t="s">
        <v>177</v>
      </c>
    </row>
    <row r="45" spans="1:8" x14ac:dyDescent="0.25">
      <c r="A45" s="37">
        <v>46239</v>
      </c>
      <c r="B45" t="s">
        <v>178</v>
      </c>
      <c r="C45" t="s">
        <v>179</v>
      </c>
    </row>
    <row r="46" spans="1:8" x14ac:dyDescent="0.25">
      <c r="A46" s="37">
        <v>46239</v>
      </c>
      <c r="C46" t="s">
        <v>180</v>
      </c>
    </row>
    <row r="47" spans="1:8" x14ac:dyDescent="0.25">
      <c r="A47" s="37">
        <v>46239</v>
      </c>
      <c r="C47" t="s">
        <v>181</v>
      </c>
    </row>
    <row r="48" spans="1:8" x14ac:dyDescent="0.25">
      <c r="A48" s="37">
        <v>46239</v>
      </c>
      <c r="C48" t="s">
        <v>182</v>
      </c>
    </row>
    <row r="49" spans="1:8" x14ac:dyDescent="0.25">
      <c r="A49" s="37">
        <v>46239</v>
      </c>
      <c r="B49" t="s">
        <v>197</v>
      </c>
      <c r="C49" t="s">
        <v>198</v>
      </c>
      <c r="D49">
        <v>1</v>
      </c>
      <c r="F49">
        <v>560</v>
      </c>
      <c r="H49">
        <v>560</v>
      </c>
    </row>
    <row r="50" spans="1:8" x14ac:dyDescent="0.25">
      <c r="A50" s="37">
        <v>46239</v>
      </c>
      <c r="C50" t="s">
        <v>199</v>
      </c>
      <c r="D50">
        <v>0.5</v>
      </c>
      <c r="F50">
        <v>900</v>
      </c>
      <c r="G50">
        <v>70</v>
      </c>
      <c r="H50">
        <v>520</v>
      </c>
    </row>
    <row r="51" spans="1:8" x14ac:dyDescent="0.25">
      <c r="A51" s="37">
        <v>46239</v>
      </c>
      <c r="C51" t="s">
        <v>200</v>
      </c>
      <c r="D51">
        <v>0.5</v>
      </c>
      <c r="F51">
        <v>600</v>
      </c>
      <c r="H51">
        <v>300</v>
      </c>
    </row>
    <row r="52" spans="1:8" x14ac:dyDescent="0.25">
      <c r="A52" s="37">
        <v>46239</v>
      </c>
      <c r="B52" t="s">
        <v>202</v>
      </c>
      <c r="C52" t="s">
        <v>201</v>
      </c>
    </row>
    <row r="53" spans="1:8" ht="15.75" thickBot="1" x14ac:dyDescent="0.3">
      <c r="A53" s="39">
        <v>46239</v>
      </c>
      <c r="B53" s="40"/>
      <c r="C53" s="40" t="s">
        <v>203</v>
      </c>
      <c r="D53" s="40"/>
      <c r="E53" s="40">
        <v>40</v>
      </c>
      <c r="F53" s="40">
        <v>10</v>
      </c>
      <c r="G53" s="40"/>
      <c r="H53" s="40">
        <v>400</v>
      </c>
    </row>
    <row r="54" spans="1:8" x14ac:dyDescent="0.25">
      <c r="A54" s="37">
        <v>46240</v>
      </c>
      <c r="C54" t="s">
        <v>216</v>
      </c>
      <c r="D54">
        <v>2</v>
      </c>
      <c r="F54">
        <v>270</v>
      </c>
      <c r="H54">
        <v>540</v>
      </c>
    </row>
    <row r="55" spans="1:8" ht="15.75" thickBot="1" x14ac:dyDescent="0.3">
      <c r="A55" s="37">
        <v>46240</v>
      </c>
      <c r="C55" t="s">
        <v>154</v>
      </c>
      <c r="D55">
        <v>4.2</v>
      </c>
      <c r="F55">
        <v>350</v>
      </c>
      <c r="G55">
        <v>70</v>
      </c>
      <c r="H55">
        <v>1540</v>
      </c>
    </row>
    <row r="56" spans="1:8" ht="15.75" thickBot="1" x14ac:dyDescent="0.3">
      <c r="A56" s="41">
        <v>46243</v>
      </c>
      <c r="B56" s="42" t="s">
        <v>135</v>
      </c>
      <c r="C56" s="42" t="s">
        <v>261</v>
      </c>
      <c r="D56" s="42"/>
      <c r="E56" s="42"/>
      <c r="F56" s="42"/>
      <c r="G56" s="42"/>
      <c r="H56" s="42">
        <v>20000</v>
      </c>
    </row>
    <row r="57" spans="1:8" x14ac:dyDescent="0.25">
      <c r="A57" s="37">
        <v>46245</v>
      </c>
      <c r="B57" t="s">
        <v>155</v>
      </c>
      <c r="C57" t="s">
        <v>134</v>
      </c>
      <c r="D57">
        <v>50</v>
      </c>
      <c r="F57">
        <v>41</v>
      </c>
      <c r="G57">
        <v>60</v>
      </c>
      <c r="H57">
        <v>2110</v>
      </c>
    </row>
    <row r="58" spans="1:8" ht="15.75" thickBot="1" x14ac:dyDescent="0.3">
      <c r="A58" s="37">
        <v>46245</v>
      </c>
      <c r="C58" t="s">
        <v>192</v>
      </c>
      <c r="H58">
        <v>1400</v>
      </c>
    </row>
    <row r="59" spans="1:8" ht="15.75" thickBot="1" x14ac:dyDescent="0.3">
      <c r="A59" s="43">
        <v>46245</v>
      </c>
      <c r="B59" s="44"/>
      <c r="C59" s="44" t="s">
        <v>240</v>
      </c>
      <c r="D59" s="44"/>
      <c r="E59" s="44"/>
      <c r="F59" s="44"/>
      <c r="G59" s="44"/>
      <c r="H59" s="44">
        <v>500</v>
      </c>
    </row>
    <row r="60" spans="1:8" ht="15.75" thickBot="1" x14ac:dyDescent="0.3">
      <c r="A60" s="41">
        <v>46245</v>
      </c>
      <c r="B60" s="42"/>
      <c r="C60" s="42" t="s">
        <v>260</v>
      </c>
      <c r="D60" s="42"/>
      <c r="E60" s="42"/>
      <c r="F60" s="42"/>
      <c r="G60" s="42"/>
      <c r="H60" s="42">
        <v>13500</v>
      </c>
    </row>
    <row r="61" spans="1:8" ht="15.75" thickBot="1" x14ac:dyDescent="0.3">
      <c r="A61" s="37">
        <v>46246</v>
      </c>
      <c r="C61" t="s">
        <v>238</v>
      </c>
      <c r="H61">
        <v>2700</v>
      </c>
    </row>
    <row r="62" spans="1:8" ht="15.75" thickBot="1" x14ac:dyDescent="0.3">
      <c r="A62" s="43">
        <v>46246</v>
      </c>
      <c r="B62" s="44"/>
      <c r="C62" s="44" t="s">
        <v>239</v>
      </c>
      <c r="D62" s="44"/>
      <c r="E62" s="44"/>
      <c r="F62" s="44"/>
      <c r="G62" s="44"/>
      <c r="H62" s="44">
        <v>20000</v>
      </c>
    </row>
    <row r="63" spans="1:8" ht="15.75" thickBot="1" x14ac:dyDescent="0.3">
      <c r="A63" s="41">
        <v>46247</v>
      </c>
      <c r="B63" s="42"/>
      <c r="C63" s="42" t="s">
        <v>250</v>
      </c>
      <c r="D63" s="42"/>
      <c r="E63" s="42"/>
      <c r="F63" s="42"/>
      <c r="G63" s="42"/>
      <c r="H63" s="42">
        <v>1800</v>
      </c>
    </row>
    <row r="64" spans="1:8" ht="15.75" thickBot="1" x14ac:dyDescent="0.3">
      <c r="A64" s="37">
        <v>46249</v>
      </c>
      <c r="C64" t="s">
        <v>217</v>
      </c>
      <c r="H64">
        <v>1000</v>
      </c>
    </row>
    <row r="65" spans="1:8" ht="15.75" thickBot="1" x14ac:dyDescent="0.3">
      <c r="A65" s="43">
        <v>46249</v>
      </c>
      <c r="B65" s="44" t="s">
        <v>149</v>
      </c>
      <c r="C65" s="44" t="s">
        <v>150</v>
      </c>
      <c r="D65" s="44">
        <v>1</v>
      </c>
      <c r="E65" s="44"/>
      <c r="F65" s="44">
        <v>400</v>
      </c>
      <c r="G65" s="44"/>
      <c r="H65" s="44">
        <v>400</v>
      </c>
    </row>
    <row r="66" spans="1:8" ht="15.75" thickBot="1" x14ac:dyDescent="0.3">
      <c r="A66" s="41">
        <v>46249</v>
      </c>
      <c r="B66" s="42"/>
      <c r="C66" s="42" t="s">
        <v>214</v>
      </c>
      <c r="D66" s="42">
        <v>7.5</v>
      </c>
      <c r="E66" s="42"/>
      <c r="F66" s="42">
        <v>300</v>
      </c>
      <c r="G66" s="42"/>
      <c r="H66" s="42">
        <v>2250</v>
      </c>
    </row>
    <row r="67" spans="1:8" ht="15.75" thickBot="1" x14ac:dyDescent="0.3">
      <c r="A67" s="37">
        <v>46251</v>
      </c>
      <c r="C67" t="s">
        <v>247</v>
      </c>
      <c r="H67">
        <v>2500</v>
      </c>
    </row>
    <row r="68" spans="1:8" ht="15.75" thickBot="1" x14ac:dyDescent="0.3">
      <c r="A68" s="43">
        <v>46251</v>
      </c>
      <c r="B68" s="44"/>
      <c r="C68" s="44" t="s">
        <v>265</v>
      </c>
      <c r="D68" s="44"/>
      <c r="E68" s="44"/>
      <c r="F68" s="44"/>
      <c r="G68" s="44"/>
      <c r="H68" s="44">
        <v>3250</v>
      </c>
    </row>
    <row r="69" spans="1:8" ht="15.75" thickBot="1" x14ac:dyDescent="0.3">
      <c r="A69" s="43">
        <v>46252</v>
      </c>
      <c r="B69" s="44"/>
      <c r="C69" s="44" t="s">
        <v>251</v>
      </c>
      <c r="D69" s="44"/>
      <c r="E69" s="44"/>
      <c r="F69" s="44"/>
      <c r="G69" s="44"/>
      <c r="H69" s="44">
        <v>600</v>
      </c>
    </row>
    <row r="70" spans="1:8" ht="15.75" thickBot="1" x14ac:dyDescent="0.3">
      <c r="A70" s="41">
        <v>46254</v>
      </c>
      <c r="B70" s="42"/>
      <c r="C70" s="42" t="s">
        <v>270</v>
      </c>
      <c r="D70" s="42"/>
      <c r="E70" s="42"/>
      <c r="F70" s="42"/>
      <c r="G70" s="42"/>
      <c r="H70" s="42">
        <v>20000</v>
      </c>
    </row>
    <row r="71" spans="1:8" x14ac:dyDescent="0.25">
      <c r="A71" s="37">
        <v>46258</v>
      </c>
      <c r="B71" t="s">
        <v>149</v>
      </c>
      <c r="C71" t="s">
        <v>150</v>
      </c>
      <c r="D71">
        <v>5</v>
      </c>
      <c r="F71">
        <v>400</v>
      </c>
      <c r="G71">
        <v>300</v>
      </c>
      <c r="H71">
        <v>2300</v>
      </c>
    </row>
    <row r="72" spans="1:8" ht="15.75" thickBot="1" x14ac:dyDescent="0.3">
      <c r="A72" s="37">
        <v>46258</v>
      </c>
      <c r="C72" t="s">
        <v>214</v>
      </c>
      <c r="D72">
        <v>6</v>
      </c>
      <c r="F72">
        <v>300</v>
      </c>
      <c r="H72">
        <v>1800</v>
      </c>
    </row>
    <row r="73" spans="1:8" ht="15.75" thickBot="1" x14ac:dyDescent="0.3">
      <c r="A73" s="41">
        <v>46258</v>
      </c>
      <c r="B73" s="42"/>
      <c r="C73" s="42" t="s">
        <v>192</v>
      </c>
      <c r="D73" s="42"/>
      <c r="E73" s="42">
        <v>3</v>
      </c>
      <c r="F73" s="42"/>
      <c r="G73" s="42"/>
      <c r="H73" s="42">
        <v>100</v>
      </c>
    </row>
    <row r="74" spans="1:8" x14ac:dyDescent="0.25">
      <c r="A74" s="37">
        <v>46259</v>
      </c>
      <c r="C74" t="s">
        <v>191</v>
      </c>
      <c r="D74">
        <v>1</v>
      </c>
      <c r="F74">
        <v>400</v>
      </c>
      <c r="G74">
        <v>270</v>
      </c>
      <c r="H74">
        <v>670</v>
      </c>
    </row>
    <row r="75" spans="1:8" ht="15.75" thickBot="1" x14ac:dyDescent="0.3">
      <c r="A75" s="39">
        <v>46259</v>
      </c>
      <c r="B75" s="40"/>
      <c r="C75" s="40" t="s">
        <v>192</v>
      </c>
      <c r="D75" s="40">
        <v>1.5</v>
      </c>
      <c r="E75" s="40"/>
      <c r="F75" s="40">
        <v>220</v>
      </c>
      <c r="G75" s="40"/>
      <c r="H75" s="40">
        <v>330</v>
      </c>
    </row>
    <row r="76" spans="1:8" x14ac:dyDescent="0.25">
      <c r="A76" s="37">
        <v>46263</v>
      </c>
      <c r="B76" t="s">
        <v>135</v>
      </c>
      <c r="C76" t="s">
        <v>136</v>
      </c>
      <c r="D76">
        <v>50</v>
      </c>
      <c r="F76">
        <v>16</v>
      </c>
      <c r="G76">
        <v>100</v>
      </c>
      <c r="H76">
        <v>900</v>
      </c>
    </row>
    <row r="77" spans="1:8" x14ac:dyDescent="0.25">
      <c r="A77" s="37">
        <v>46263</v>
      </c>
      <c r="C77" t="s">
        <v>137</v>
      </c>
      <c r="D77">
        <v>44</v>
      </c>
      <c r="F77">
        <v>34</v>
      </c>
      <c r="H77">
        <v>1496</v>
      </c>
    </row>
    <row r="78" spans="1:8" x14ac:dyDescent="0.25">
      <c r="A78" s="37">
        <v>46263</v>
      </c>
      <c r="C78" t="s">
        <v>138</v>
      </c>
      <c r="D78">
        <v>5</v>
      </c>
      <c r="F78">
        <v>150</v>
      </c>
      <c r="H78">
        <v>750</v>
      </c>
    </row>
    <row r="79" spans="1:8" x14ac:dyDescent="0.25">
      <c r="A79" s="37">
        <v>46263</v>
      </c>
      <c r="C79" t="s">
        <v>139</v>
      </c>
      <c r="D79">
        <v>5</v>
      </c>
      <c r="F79">
        <v>160</v>
      </c>
      <c r="H79">
        <v>800</v>
      </c>
    </row>
    <row r="80" spans="1:8" ht="15.75" thickBot="1" x14ac:dyDescent="0.3">
      <c r="A80" s="39">
        <v>46263</v>
      </c>
      <c r="B80" s="40" t="s">
        <v>178</v>
      </c>
      <c r="C80" s="40" t="s">
        <v>179</v>
      </c>
      <c r="D80" s="40"/>
      <c r="E80" s="40">
        <v>60</v>
      </c>
      <c r="F80" s="40">
        <v>6.35</v>
      </c>
      <c r="G80" s="40"/>
      <c r="H80" s="40">
        <v>381</v>
      </c>
    </row>
    <row r="81" spans="1:8" x14ac:dyDescent="0.25">
      <c r="A81" s="37">
        <v>46265</v>
      </c>
      <c r="B81" t="s">
        <v>149</v>
      </c>
      <c r="C81" t="s">
        <v>150</v>
      </c>
      <c r="D81">
        <v>2</v>
      </c>
      <c r="F81">
        <v>420</v>
      </c>
      <c r="G81">
        <v>200</v>
      </c>
      <c r="H81">
        <v>1040</v>
      </c>
    </row>
    <row r="82" spans="1:8" x14ac:dyDescent="0.25">
      <c r="A82" s="37">
        <v>46265</v>
      </c>
      <c r="C82" t="s">
        <v>214</v>
      </c>
      <c r="D82">
        <v>5</v>
      </c>
      <c r="F82">
        <v>320</v>
      </c>
      <c r="H82">
        <v>1600</v>
      </c>
    </row>
    <row r="83" spans="1:8" ht="15.75" thickBot="1" x14ac:dyDescent="0.3">
      <c r="A83" s="39">
        <v>46265</v>
      </c>
      <c r="B83" s="40"/>
      <c r="C83" s="40" t="s">
        <v>216</v>
      </c>
      <c r="D83" s="40">
        <v>2</v>
      </c>
      <c r="E83" s="40"/>
      <c r="F83" s="40">
        <v>300</v>
      </c>
      <c r="G83" s="40"/>
      <c r="H83" s="40">
        <v>600</v>
      </c>
    </row>
    <row r="84" spans="1:8" x14ac:dyDescent="0.25">
      <c r="A84" s="37">
        <v>46267</v>
      </c>
      <c r="C84" t="s">
        <v>216</v>
      </c>
      <c r="D84">
        <v>4</v>
      </c>
      <c r="F84">
        <v>300</v>
      </c>
      <c r="H84">
        <v>1200</v>
      </c>
    </row>
    <row r="85" spans="1:8" x14ac:dyDescent="0.25">
      <c r="A85" s="37">
        <v>46267</v>
      </c>
      <c r="C85" t="s">
        <v>217</v>
      </c>
      <c r="D85">
        <v>5</v>
      </c>
      <c r="F85">
        <v>240</v>
      </c>
      <c r="H85">
        <v>1200</v>
      </c>
    </row>
    <row r="86" spans="1:8" ht="15.75" thickBot="1" x14ac:dyDescent="0.3">
      <c r="A86" s="37">
        <v>46267</v>
      </c>
      <c r="C86" t="s">
        <v>192</v>
      </c>
      <c r="D86">
        <v>3</v>
      </c>
      <c r="F86">
        <v>290</v>
      </c>
      <c r="G86">
        <v>130</v>
      </c>
      <c r="H86">
        <v>1000</v>
      </c>
    </row>
    <row r="87" spans="1:8" ht="15.75" thickBot="1" x14ac:dyDescent="0.3">
      <c r="A87" s="41">
        <v>46270</v>
      </c>
      <c r="B87" s="42"/>
      <c r="C87" s="42" t="s">
        <v>317</v>
      </c>
      <c r="D87" s="42"/>
      <c r="E87" s="42">
        <v>50</v>
      </c>
      <c r="F87" s="42">
        <v>55</v>
      </c>
      <c r="G87" s="42">
        <v>250</v>
      </c>
      <c r="H87" s="42">
        <v>3000</v>
      </c>
    </row>
    <row r="88" spans="1:8" x14ac:dyDescent="0.25">
      <c r="A88" s="37">
        <v>46272</v>
      </c>
      <c r="C88" t="s">
        <v>154</v>
      </c>
      <c r="D88">
        <v>3.6</v>
      </c>
      <c r="F88">
        <v>270</v>
      </c>
      <c r="H88">
        <v>972</v>
      </c>
    </row>
    <row r="89" spans="1:8" ht="15.75" thickBot="1" x14ac:dyDescent="0.3">
      <c r="A89" s="39">
        <v>46272</v>
      </c>
      <c r="B89" s="40"/>
      <c r="C89" s="40" t="s">
        <v>179</v>
      </c>
      <c r="D89" s="40"/>
      <c r="E89" s="40">
        <v>60</v>
      </c>
      <c r="F89" s="40">
        <v>6.33</v>
      </c>
      <c r="G89" s="40">
        <v>148.19999999999999</v>
      </c>
      <c r="H89" s="40">
        <v>528</v>
      </c>
    </row>
    <row r="92" spans="1:8" x14ac:dyDescent="0.25">
      <c r="A92" s="37">
        <v>46270</v>
      </c>
      <c r="G92" s="45" t="s">
        <v>232</v>
      </c>
      <c r="H92" s="46">
        <f>SUBTOTAL(109,DailyPurchaseLedger[TOTAL AMOUNT])</f>
        <v>122142</v>
      </c>
    </row>
  </sheetData>
  <conditionalFormatting sqref="A2:A91">
    <cfRule type="expression" dxfId="15" priority="1">
      <formula>$A2=$A1</formula>
    </cfRule>
  </conditionalFormatting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D2"/>
  <sheetViews>
    <sheetView workbookViewId="0">
      <selection activeCell="K14" sqref="K14"/>
    </sheetView>
  </sheetViews>
  <sheetFormatPr defaultColWidth="8.85546875" defaultRowHeight="15" x14ac:dyDescent="0.25"/>
  <cols>
    <col min="1" max="1" width="15.7109375" style="54" customWidth="1"/>
    <col min="2" max="2" width="25.7109375" customWidth="1"/>
    <col min="3" max="3" width="35.7109375" customWidth="1"/>
    <col min="4" max="4" width="15.7109375" style="10" customWidth="1"/>
  </cols>
  <sheetData>
    <row r="1" spans="1:4" x14ac:dyDescent="0.25">
      <c r="A1" s="54" t="s">
        <v>70</v>
      </c>
      <c r="B1" t="s">
        <v>313</v>
      </c>
      <c r="C1" t="s">
        <v>314</v>
      </c>
      <c r="D1" s="10" t="s">
        <v>73</v>
      </c>
    </row>
    <row r="2" spans="1:4" x14ac:dyDescent="0.25">
      <c r="A2" s="54">
        <v>46268</v>
      </c>
      <c r="B2" t="s">
        <v>259</v>
      </c>
      <c r="C2" t="s">
        <v>320</v>
      </c>
      <c r="D2" s="10">
        <v>1100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:L15"/>
  <sheetViews>
    <sheetView workbookViewId="0">
      <selection activeCell="B39" sqref="B39"/>
    </sheetView>
  </sheetViews>
  <sheetFormatPr defaultColWidth="8.85546875" defaultRowHeight="15" x14ac:dyDescent="0.25"/>
  <cols>
    <col min="1" max="1" width="12.7109375" customWidth="1"/>
    <col min="2" max="2" width="11.85546875" style="54" bestFit="1" customWidth="1"/>
    <col min="3" max="3" width="15.7109375" customWidth="1"/>
    <col min="4" max="4" width="20.7109375" customWidth="1"/>
    <col min="5" max="5" width="9.42578125" style="10" bestFit="1" customWidth="1"/>
    <col min="6" max="6" width="9.42578125" bestFit="1" customWidth="1"/>
    <col min="7" max="7" width="3.7109375" customWidth="1"/>
    <col min="8" max="8" width="12.7109375" customWidth="1"/>
    <col min="9" max="9" width="17.28515625" style="54" customWidth="1"/>
    <col min="10" max="10" width="15.7109375" customWidth="1"/>
    <col min="11" max="11" width="20.7109375" customWidth="1"/>
    <col min="12" max="12" width="9.42578125" style="10" bestFit="1" customWidth="1"/>
  </cols>
  <sheetData>
    <row r="1" spans="1:12" x14ac:dyDescent="0.25">
      <c r="A1" s="57" t="s">
        <v>324</v>
      </c>
      <c r="B1" s="59" t="s">
        <v>70</v>
      </c>
      <c r="C1" s="57" t="s">
        <v>326</v>
      </c>
      <c r="D1" s="57" t="s">
        <v>314</v>
      </c>
      <c r="E1" s="62" t="s">
        <v>73</v>
      </c>
      <c r="F1" s="57" t="s">
        <v>331</v>
      </c>
      <c r="H1" s="58" t="s">
        <v>325</v>
      </c>
      <c r="I1" s="61" t="s">
        <v>70</v>
      </c>
      <c r="J1" s="58" t="s">
        <v>313</v>
      </c>
      <c r="K1" s="58" t="s">
        <v>314</v>
      </c>
      <c r="L1" s="64" t="s">
        <v>73</v>
      </c>
    </row>
    <row r="2" spans="1:12" x14ac:dyDescent="0.25">
      <c r="A2" s="56"/>
      <c r="B2" s="60">
        <v>46272</v>
      </c>
      <c r="C2" s="56" t="s">
        <v>68</v>
      </c>
      <c r="D2" s="56" t="s">
        <v>327</v>
      </c>
      <c r="E2" s="63">
        <v>34500</v>
      </c>
      <c r="F2" s="56" t="s">
        <v>329</v>
      </c>
      <c r="H2" s="56"/>
      <c r="I2" s="60">
        <v>46268</v>
      </c>
      <c r="J2" s="56" t="s">
        <v>259</v>
      </c>
      <c r="K2" s="56" t="s">
        <v>344</v>
      </c>
      <c r="L2" s="63">
        <v>600</v>
      </c>
    </row>
    <row r="3" spans="1:12" x14ac:dyDescent="0.25">
      <c r="A3" s="56"/>
      <c r="B3" s="60">
        <v>46273</v>
      </c>
      <c r="C3" s="56" t="s">
        <v>220</v>
      </c>
      <c r="D3" s="56" t="s">
        <v>328</v>
      </c>
      <c r="E3" s="63">
        <v>25000</v>
      </c>
      <c r="F3" s="56" t="s">
        <v>329</v>
      </c>
      <c r="H3" s="56"/>
      <c r="I3" s="60">
        <v>46268</v>
      </c>
      <c r="J3" s="56"/>
      <c r="K3" s="56" t="s">
        <v>345</v>
      </c>
      <c r="L3" s="63">
        <v>500</v>
      </c>
    </row>
    <row r="4" spans="1:12" x14ac:dyDescent="0.25">
      <c r="A4" s="56"/>
      <c r="B4" s="60"/>
      <c r="C4" s="56"/>
      <c r="D4" s="56"/>
      <c r="E4" s="63"/>
      <c r="F4" s="56"/>
      <c r="H4" s="56"/>
      <c r="I4" s="60">
        <v>46272</v>
      </c>
      <c r="J4" s="56" t="s">
        <v>321</v>
      </c>
      <c r="K4" s="56" t="s">
        <v>346</v>
      </c>
      <c r="L4" s="63">
        <v>24350</v>
      </c>
    </row>
    <row r="5" spans="1:12" x14ac:dyDescent="0.25">
      <c r="A5" s="56"/>
      <c r="B5" s="60"/>
      <c r="C5" s="56"/>
      <c r="D5" s="56"/>
      <c r="E5" s="63"/>
      <c r="F5" s="56"/>
      <c r="H5" s="56"/>
      <c r="I5" s="60">
        <v>46272</v>
      </c>
      <c r="J5" s="56" t="s">
        <v>319</v>
      </c>
      <c r="K5" s="56" t="s">
        <v>347</v>
      </c>
      <c r="L5" s="63">
        <v>9600</v>
      </c>
    </row>
    <row r="6" spans="1:12" x14ac:dyDescent="0.25">
      <c r="A6" s="56"/>
      <c r="B6" s="60"/>
      <c r="C6" s="56"/>
      <c r="D6" s="56"/>
      <c r="E6" s="63"/>
      <c r="F6" s="56"/>
      <c r="H6" s="56"/>
      <c r="I6" s="60">
        <v>46269</v>
      </c>
      <c r="J6" s="56" t="s">
        <v>220</v>
      </c>
      <c r="K6" s="56" t="s">
        <v>348</v>
      </c>
      <c r="L6" s="63">
        <v>1500</v>
      </c>
    </row>
    <row r="7" spans="1:12" x14ac:dyDescent="0.25">
      <c r="A7" s="56"/>
      <c r="B7" s="60"/>
      <c r="C7" s="56"/>
      <c r="D7" s="56"/>
      <c r="E7" s="63"/>
      <c r="F7" s="56"/>
      <c r="H7" s="56"/>
      <c r="I7" s="60">
        <v>46270</v>
      </c>
      <c r="J7" s="56" t="s">
        <v>259</v>
      </c>
      <c r="K7" s="56" t="s">
        <v>349</v>
      </c>
      <c r="L7" s="63">
        <v>3000</v>
      </c>
    </row>
    <row r="8" spans="1:12" x14ac:dyDescent="0.25">
      <c r="A8" s="56"/>
      <c r="B8" s="60"/>
      <c r="C8" s="56"/>
      <c r="D8" s="56"/>
      <c r="E8" s="63"/>
      <c r="F8" s="56"/>
      <c r="H8" s="56"/>
      <c r="I8" s="60">
        <v>46272</v>
      </c>
      <c r="J8" s="56" t="s">
        <v>350</v>
      </c>
      <c r="K8" s="56" t="s">
        <v>351</v>
      </c>
      <c r="L8" s="63">
        <v>3000</v>
      </c>
    </row>
    <row r="9" spans="1:12" x14ac:dyDescent="0.25">
      <c r="A9" s="56"/>
      <c r="B9" s="60"/>
      <c r="C9" s="56"/>
      <c r="D9" s="56"/>
      <c r="E9" s="63"/>
      <c r="F9" s="56"/>
      <c r="H9" s="56"/>
      <c r="I9" s="60">
        <v>46272</v>
      </c>
      <c r="J9" s="56" t="s">
        <v>259</v>
      </c>
      <c r="K9" s="56" t="s">
        <v>352</v>
      </c>
      <c r="L9" s="63">
        <v>1500</v>
      </c>
    </row>
    <row r="10" spans="1:12" x14ac:dyDescent="0.25">
      <c r="A10" s="56"/>
      <c r="B10" s="60"/>
      <c r="C10" s="56"/>
      <c r="D10" s="56"/>
      <c r="E10" s="63"/>
      <c r="F10" s="56"/>
      <c r="H10" s="56"/>
      <c r="I10" s="60">
        <v>46274</v>
      </c>
      <c r="J10" s="56" t="s">
        <v>321</v>
      </c>
      <c r="K10" s="56" t="s">
        <v>353</v>
      </c>
      <c r="L10" s="63">
        <v>13450</v>
      </c>
    </row>
    <row r="11" spans="1:12" x14ac:dyDescent="0.25">
      <c r="I11" s="54">
        <v>46274</v>
      </c>
      <c r="J11" s="81" t="s">
        <v>220</v>
      </c>
      <c r="K11" s="81" t="s">
        <v>354</v>
      </c>
      <c r="L11" s="10">
        <v>800</v>
      </c>
    </row>
    <row r="12" spans="1:12" x14ac:dyDescent="0.25">
      <c r="I12" s="54">
        <v>46275</v>
      </c>
      <c r="J12" s="81" t="s">
        <v>251</v>
      </c>
      <c r="K12" s="81" t="s">
        <v>355</v>
      </c>
      <c r="L12" s="10">
        <v>6000</v>
      </c>
    </row>
    <row r="13" spans="1:12" x14ac:dyDescent="0.25">
      <c r="I13" s="54">
        <v>46284</v>
      </c>
      <c r="J13" s="81" t="s">
        <v>350</v>
      </c>
      <c r="K13" s="81" t="s">
        <v>351</v>
      </c>
      <c r="L13" s="10">
        <v>1500</v>
      </c>
    </row>
    <row r="14" spans="1:12" x14ac:dyDescent="0.25">
      <c r="I14" s="54">
        <v>46279</v>
      </c>
      <c r="J14" s="81" t="s">
        <v>220</v>
      </c>
      <c r="K14" s="81" t="s">
        <v>357</v>
      </c>
      <c r="L14" s="10">
        <v>2500</v>
      </c>
    </row>
    <row r="15" spans="1:12" x14ac:dyDescent="0.25">
      <c r="I15" s="54">
        <v>46279</v>
      </c>
      <c r="J15" s="81" t="s">
        <v>358</v>
      </c>
      <c r="K15" s="81" t="s">
        <v>359</v>
      </c>
      <c r="L15" s="10">
        <v>4500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1"/>
  <dimension ref="A1:H6"/>
  <sheetViews>
    <sheetView zoomScale="220" zoomScaleNormal="130" workbookViewId="0">
      <selection activeCell="G6" sqref="G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46248</v>
      </c>
      <c r="B2" t="s">
        <v>243</v>
      </c>
      <c r="C2" t="s">
        <v>186</v>
      </c>
      <c r="D2" t="s">
        <v>62</v>
      </c>
      <c r="E2">
        <v>35000</v>
      </c>
      <c r="F2">
        <v>35000</v>
      </c>
      <c r="G2" t="str">
        <f>VLOOKUP("RANJAN*", todays_rent_data!B:F, 5, FALSE)</f>
        <v>GRP 2</v>
      </c>
      <c r="H2">
        <f>E2-F2</f>
        <v>0</v>
      </c>
    </row>
    <row r="3" spans="1:8" x14ac:dyDescent="0.25">
      <c r="A3" s="3">
        <v>46260</v>
      </c>
      <c r="B3" t="s">
        <v>267</v>
      </c>
      <c r="C3" t="s">
        <v>186</v>
      </c>
      <c r="D3" t="s">
        <v>62</v>
      </c>
      <c r="E3">
        <v>27500</v>
      </c>
      <c r="F3">
        <v>27500</v>
      </c>
      <c r="G3" t="s">
        <v>64</v>
      </c>
      <c r="H3">
        <f>E3-F3</f>
        <v>0</v>
      </c>
    </row>
    <row r="4" spans="1:8" x14ac:dyDescent="0.25">
      <c r="A4" s="3">
        <v>46281</v>
      </c>
      <c r="B4" t="s">
        <v>332</v>
      </c>
      <c r="C4" t="s">
        <v>229</v>
      </c>
      <c r="D4" t="s">
        <v>62</v>
      </c>
      <c r="E4">
        <v>35000</v>
      </c>
      <c r="F4">
        <v>35000</v>
      </c>
      <c r="G4" t="s">
        <v>31</v>
      </c>
      <c r="H4">
        <v>0</v>
      </c>
    </row>
    <row r="5" spans="1:8" x14ac:dyDescent="0.25">
      <c r="A5" s="3">
        <v>46295</v>
      </c>
      <c r="B5" t="s">
        <v>245</v>
      </c>
      <c r="C5" t="s">
        <v>229</v>
      </c>
      <c r="D5" t="s">
        <v>62</v>
      </c>
      <c r="E5">
        <v>27500</v>
      </c>
      <c r="F5">
        <v>27500</v>
      </c>
      <c r="G5" t="s">
        <v>64</v>
      </c>
      <c r="H5">
        <v>0</v>
      </c>
    </row>
    <row r="6" spans="1:8" x14ac:dyDescent="0.25">
      <c r="D6" t="s">
        <v>62</v>
      </c>
      <c r="E6">
        <v>27500</v>
      </c>
      <c r="G6" t="s">
        <v>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4"/>
  <sheetViews>
    <sheetView zoomScale="253" workbookViewId="0">
      <selection activeCell="H4" sqref="H4"/>
    </sheetView>
  </sheetViews>
  <sheetFormatPr defaultColWidth="11.42578125" defaultRowHeight="15" x14ac:dyDescent="0.25"/>
  <cols>
    <col min="1" max="1" width="11" customWidth="1"/>
    <col min="2" max="2" width="10.7109375" customWidth="1"/>
    <col min="3" max="3" width="13.42578125" customWidth="1"/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46260</v>
      </c>
      <c r="B2" t="s">
        <v>266</v>
      </c>
      <c r="C2" t="s">
        <v>186</v>
      </c>
      <c r="D2" t="s">
        <v>65</v>
      </c>
      <c r="E2">
        <f>SUMIF(todays_rent_data!B:B, "MUJIB*", todays_rent_data!D:D)</f>
        <v>22500</v>
      </c>
      <c r="F2">
        <v>22500</v>
      </c>
      <c r="G2" t="str">
        <f>VLOOKUP("MUJIB*", todays_rent_data!B:F, 5, FALSE)</f>
        <v>GRP 4</v>
      </c>
      <c r="H2">
        <v>2500</v>
      </c>
    </row>
    <row r="3" spans="1:8" x14ac:dyDescent="0.25">
      <c r="A3" s="3">
        <v>46288</v>
      </c>
      <c r="B3" t="s">
        <v>237</v>
      </c>
      <c r="C3" t="s">
        <v>229</v>
      </c>
      <c r="D3" t="s">
        <v>65</v>
      </c>
      <c r="E3">
        <v>22500</v>
      </c>
      <c r="F3">
        <v>22500</v>
      </c>
      <c r="G3" t="s">
        <v>64</v>
      </c>
      <c r="H3">
        <v>0</v>
      </c>
    </row>
    <row r="4" spans="1:8" x14ac:dyDescent="0.25">
      <c r="A4" s="3"/>
      <c r="C4" t="s">
        <v>186</v>
      </c>
      <c r="D4" t="s">
        <v>65</v>
      </c>
      <c r="E4">
        <v>2500</v>
      </c>
      <c r="G4" t="s">
        <v>64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/>
  <dimension ref="A1:H4"/>
  <sheetViews>
    <sheetView zoomScale="145" zoomScaleNormal="145" workbookViewId="0">
      <selection activeCell="F6" sqref="F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46248</v>
      </c>
      <c r="B2" t="s">
        <v>244</v>
      </c>
      <c r="C2" t="s">
        <v>186</v>
      </c>
      <c r="D2" t="s">
        <v>45</v>
      </c>
      <c r="E2">
        <f>SUMIF(todays_rent_data!B:B, "NEHAL*", todays_rent_data!D:D)</f>
        <v>209000</v>
      </c>
      <c r="F2">
        <v>209000</v>
      </c>
      <c r="G2" t="str">
        <f>VLOOKUP("NEHAL*", todays_rent_data!B:F, 5, FALSE)</f>
        <v>GRP 2</v>
      </c>
      <c r="H2">
        <f>E2-F2</f>
        <v>0</v>
      </c>
    </row>
    <row r="3" spans="1:8" x14ac:dyDescent="0.25">
      <c r="A3" s="3">
        <v>46279</v>
      </c>
      <c r="B3" t="s">
        <v>336</v>
      </c>
      <c r="C3" t="s">
        <v>229</v>
      </c>
      <c r="D3" t="s">
        <v>45</v>
      </c>
      <c r="E3">
        <v>209000</v>
      </c>
      <c r="F3">
        <v>209000</v>
      </c>
      <c r="G3" t="s">
        <v>31</v>
      </c>
      <c r="H3">
        <v>0</v>
      </c>
    </row>
    <row r="4" spans="1:8" x14ac:dyDescent="0.25">
      <c r="D4" t="s">
        <v>45</v>
      </c>
      <c r="E4">
        <v>209000</v>
      </c>
      <c r="G4" t="s">
        <v>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H6"/>
  <sheetViews>
    <sheetView zoomScale="246" zoomScaleNormal="85" workbookViewId="0">
      <selection activeCell="H5" sqref="H5"/>
    </sheetView>
  </sheetViews>
  <sheetFormatPr defaultColWidth="11.42578125" defaultRowHeight="15" x14ac:dyDescent="0.25"/>
  <cols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46252</v>
      </c>
      <c r="B2" t="s">
        <v>245</v>
      </c>
      <c r="C2" t="s">
        <v>186</v>
      </c>
      <c r="D2" t="s">
        <v>66</v>
      </c>
      <c r="E2">
        <f>SUMIF(todays_rent_data!B:B, "PERVAZ*", todays_rent_data!D:D)</f>
        <v>45000</v>
      </c>
      <c r="F2">
        <v>20000</v>
      </c>
      <c r="G2" t="str">
        <f>VLOOKUP("PERVAZ*", todays_rent_data!B:F, 5, FALSE)</f>
        <v>GRP 4</v>
      </c>
      <c r="H2">
        <f>E2-F2</f>
        <v>25000</v>
      </c>
    </row>
    <row r="3" spans="1:8" x14ac:dyDescent="0.25">
      <c r="A3" s="3">
        <v>46260</v>
      </c>
      <c r="B3" t="s">
        <v>268</v>
      </c>
      <c r="C3" t="s">
        <v>186</v>
      </c>
      <c r="D3" t="s">
        <v>66</v>
      </c>
      <c r="E3">
        <v>25000</v>
      </c>
      <c r="F3">
        <v>25000</v>
      </c>
      <c r="G3" t="s">
        <v>64</v>
      </c>
      <c r="H3">
        <v>0</v>
      </c>
    </row>
    <row r="4" spans="1:8" x14ac:dyDescent="0.25">
      <c r="A4" s="3">
        <v>46291</v>
      </c>
      <c r="B4" s="3" t="s">
        <v>245</v>
      </c>
      <c r="C4" t="s">
        <v>229</v>
      </c>
      <c r="D4" t="s">
        <v>66</v>
      </c>
      <c r="E4">
        <v>45000</v>
      </c>
      <c r="F4">
        <v>30000</v>
      </c>
      <c r="G4" t="s">
        <v>64</v>
      </c>
      <c r="H4">
        <v>15000</v>
      </c>
    </row>
    <row r="5" spans="1:8" x14ac:dyDescent="0.25">
      <c r="A5" s="3">
        <v>46297</v>
      </c>
      <c r="B5" t="s">
        <v>245</v>
      </c>
      <c r="C5" t="s">
        <v>229</v>
      </c>
      <c r="D5" t="s">
        <v>66</v>
      </c>
      <c r="E5">
        <v>15000</v>
      </c>
      <c r="F5">
        <v>15000</v>
      </c>
      <c r="G5" t="s">
        <v>64</v>
      </c>
      <c r="H5">
        <v>0</v>
      </c>
    </row>
    <row r="6" spans="1:8" x14ac:dyDescent="0.25">
      <c r="C6" t="s">
        <v>229</v>
      </c>
      <c r="D6" t="s">
        <v>66</v>
      </c>
      <c r="E6">
        <v>15000</v>
      </c>
      <c r="G6" t="s">
        <v>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H2"/>
  <sheetViews>
    <sheetView zoomScale="145" zoomScaleNormal="145" workbookViewId="0">
      <selection activeCell="A2" sqref="A2"/>
    </sheetView>
  </sheetViews>
  <sheetFormatPr defaultColWidth="11.42578125" defaultRowHeight="15" x14ac:dyDescent="0.25"/>
  <cols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/>
      <c r="D2" t="s">
        <v>68</v>
      </c>
      <c r="E2">
        <f>SUMIF(todays_rent_data!B:B, "AZHAR*", todays_rent_data!D:D)</f>
        <v>11500</v>
      </c>
      <c r="G2" t="str">
        <f>VLOOKUP("AZHAR*", todays_rent_data!B:F, 5, FALSE)</f>
        <v>GRP 4</v>
      </c>
      <c r="H2">
        <f>E2-F2</f>
        <v>11500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4"/>
  <sheetViews>
    <sheetView zoomScale="190" zoomScaleNormal="190" workbookViewId="0">
      <selection activeCell="E4" sqref="E4"/>
    </sheetView>
  </sheetViews>
  <sheetFormatPr defaultColWidth="11.42578125" defaultRowHeight="15" x14ac:dyDescent="0.25"/>
  <cols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46257</v>
      </c>
      <c r="B2" t="s">
        <v>262</v>
      </c>
      <c r="C2" t="s">
        <v>186</v>
      </c>
      <c r="D2" t="s">
        <v>56</v>
      </c>
      <c r="E2">
        <f>SUMIF(todays_rent_data!B:B, "HYDER*", todays_rent_data!D:D)</f>
        <v>25000</v>
      </c>
      <c r="F2">
        <v>25000</v>
      </c>
      <c r="G2" t="str">
        <f>VLOOKUP("HYDER*", todays_rent_data!B:F, 5, FALSE)</f>
        <v>GRP 3</v>
      </c>
      <c r="H2">
        <f>E2-F2</f>
        <v>0</v>
      </c>
    </row>
    <row r="3" spans="1:8" x14ac:dyDescent="0.25">
      <c r="A3" s="3">
        <v>46291</v>
      </c>
      <c r="B3" t="s">
        <v>337</v>
      </c>
      <c r="C3" t="s">
        <v>229</v>
      </c>
      <c r="D3" t="s">
        <v>56</v>
      </c>
      <c r="E3">
        <v>25000</v>
      </c>
      <c r="F3">
        <v>25000</v>
      </c>
      <c r="G3" t="s">
        <v>55</v>
      </c>
      <c r="H3">
        <v>0</v>
      </c>
    </row>
    <row r="4" spans="1:8" x14ac:dyDescent="0.25">
      <c r="C4" t="s">
        <v>229</v>
      </c>
      <c r="D4" t="s">
        <v>56</v>
      </c>
      <c r="E4">
        <v>25000</v>
      </c>
      <c r="G4" t="s">
        <v>55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H6"/>
  <sheetViews>
    <sheetView zoomScale="145" zoomScaleNormal="145" workbookViewId="0">
      <selection activeCell="F4" sqref="F4"/>
    </sheetView>
  </sheetViews>
  <sheetFormatPr defaultColWidth="11.42578125" defaultRowHeight="15" x14ac:dyDescent="0.25"/>
  <cols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46256</v>
      </c>
      <c r="B2" t="s">
        <v>263</v>
      </c>
      <c r="C2" t="s">
        <v>186</v>
      </c>
      <c r="D2" t="s">
        <v>53</v>
      </c>
      <c r="E2">
        <v>14000</v>
      </c>
      <c r="F2">
        <v>14000</v>
      </c>
      <c r="G2" t="str">
        <f>VLOOKUP("MOIN*", todays_rent_data!B:F, 5, FALSE)</f>
        <v>GRP 3</v>
      </c>
      <c r="H2">
        <v>0</v>
      </c>
    </row>
    <row r="3" spans="1:8" x14ac:dyDescent="0.25">
      <c r="A3" s="3">
        <v>46263</v>
      </c>
      <c r="B3" t="s">
        <v>271</v>
      </c>
      <c r="C3" t="s">
        <v>186</v>
      </c>
      <c r="D3" t="s">
        <v>53</v>
      </c>
      <c r="E3">
        <v>13000</v>
      </c>
      <c r="F3">
        <v>13000</v>
      </c>
      <c r="G3" t="s">
        <v>55</v>
      </c>
      <c r="H3">
        <v>0</v>
      </c>
    </row>
    <row r="4" spans="1:8" x14ac:dyDescent="0.25">
      <c r="A4" s="3">
        <v>46286</v>
      </c>
      <c r="B4" t="s">
        <v>244</v>
      </c>
      <c r="C4" t="s">
        <v>229</v>
      </c>
      <c r="D4" t="s">
        <v>53</v>
      </c>
      <c r="E4">
        <v>14000</v>
      </c>
      <c r="F4">
        <v>14000</v>
      </c>
      <c r="G4" t="s">
        <v>55</v>
      </c>
      <c r="H4">
        <v>0</v>
      </c>
    </row>
    <row r="5" spans="1:8" x14ac:dyDescent="0.25">
      <c r="A5" s="3">
        <v>46294</v>
      </c>
      <c r="B5" t="s">
        <v>244</v>
      </c>
      <c r="C5" t="s">
        <v>229</v>
      </c>
      <c r="D5" t="s">
        <v>53</v>
      </c>
      <c r="E5">
        <v>12000</v>
      </c>
      <c r="F5">
        <v>12000</v>
      </c>
      <c r="G5" t="s">
        <v>55</v>
      </c>
      <c r="H5">
        <v>0</v>
      </c>
    </row>
    <row r="6" spans="1:8" x14ac:dyDescent="0.25">
      <c r="A6" s="3">
        <v>46324</v>
      </c>
      <c r="C6" t="s">
        <v>252</v>
      </c>
      <c r="D6" t="s">
        <v>53</v>
      </c>
      <c r="E6">
        <v>14000</v>
      </c>
      <c r="G6" t="s">
        <v>55</v>
      </c>
      <c r="H6">
        <v>14000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H4"/>
  <sheetViews>
    <sheetView zoomScale="190" zoomScaleNormal="190" workbookViewId="0">
      <selection activeCell="E7" sqref="E7"/>
    </sheetView>
  </sheetViews>
  <sheetFormatPr defaultColWidth="11.42578125" defaultRowHeight="15" x14ac:dyDescent="0.25"/>
  <cols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46253</v>
      </c>
      <c r="B2" t="s">
        <v>258</v>
      </c>
      <c r="C2" t="s">
        <v>186</v>
      </c>
      <c r="D2" t="s">
        <v>57</v>
      </c>
      <c r="E2">
        <f>SUMIF(todays_rent_data!B:B, "RAFAT*", todays_rent_data!D:D)</f>
        <v>15000</v>
      </c>
      <c r="F2">
        <v>15000</v>
      </c>
      <c r="G2" t="str">
        <f>VLOOKUP("RAFAT*", todays_rent_data!B:F, 5, FALSE)</f>
        <v>GRP 3</v>
      </c>
      <c r="H2">
        <f>E2-F2</f>
        <v>0</v>
      </c>
    </row>
    <row r="3" spans="1:8" x14ac:dyDescent="0.25">
      <c r="A3" s="3">
        <v>46289</v>
      </c>
      <c r="B3" t="s">
        <v>337</v>
      </c>
      <c r="C3" t="s">
        <v>229</v>
      </c>
      <c r="D3" t="s">
        <v>57</v>
      </c>
      <c r="E3">
        <v>15000</v>
      </c>
      <c r="F3">
        <v>15000</v>
      </c>
      <c r="G3" t="s">
        <v>55</v>
      </c>
      <c r="H3">
        <v>0</v>
      </c>
    </row>
    <row r="4" spans="1:8" x14ac:dyDescent="0.25">
      <c r="C4" t="s">
        <v>229</v>
      </c>
      <c r="D4" t="s">
        <v>57</v>
      </c>
      <c r="E4">
        <v>15000</v>
      </c>
      <c r="G4" t="s">
        <v>55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/>
  <dimension ref="A1:H5"/>
  <sheetViews>
    <sheetView zoomScale="134" zoomScaleNormal="160" workbookViewId="0">
      <selection activeCell="M16" sqref="M16"/>
    </sheetView>
  </sheetViews>
  <sheetFormatPr defaultColWidth="11.42578125" defaultRowHeight="15" x14ac:dyDescent="0.25"/>
  <cols>
    <col min="3" max="3" width="14" customWidth="1"/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46235</v>
      </c>
      <c r="B2" t="s">
        <v>185</v>
      </c>
      <c r="C2" t="s">
        <v>186</v>
      </c>
      <c r="D2" t="s">
        <v>187</v>
      </c>
      <c r="E2">
        <f>SUMIF(todays_rent_data!B:B, "ANAS*", todays_rent_data!D:D)</f>
        <v>119600</v>
      </c>
      <c r="F2">
        <v>119600</v>
      </c>
      <c r="G2" t="str">
        <f>VLOOKUP("ANAS*", todays_rent_data!B:F, 5, FALSE)</f>
        <v>GRP 1</v>
      </c>
      <c r="H2">
        <f>E2-F2</f>
        <v>0</v>
      </c>
    </row>
    <row r="3" spans="1:8" x14ac:dyDescent="0.25">
      <c r="A3" s="3">
        <v>46267</v>
      </c>
      <c r="B3" t="s">
        <v>275</v>
      </c>
      <c r="C3" t="s">
        <v>229</v>
      </c>
      <c r="D3" t="s">
        <v>187</v>
      </c>
      <c r="E3">
        <f>SUMIF(todays_rent_data!B:B, "ANAS*", todays_rent_data!D:D)</f>
        <v>119600</v>
      </c>
      <c r="F3">
        <v>119600</v>
      </c>
      <c r="G3" t="s">
        <v>10</v>
      </c>
      <c r="H3">
        <v>0</v>
      </c>
    </row>
    <row r="4" spans="1:8" x14ac:dyDescent="0.25">
      <c r="A4" s="3">
        <v>46297</v>
      </c>
      <c r="C4" t="s">
        <v>252</v>
      </c>
      <c r="D4" t="s">
        <v>187</v>
      </c>
      <c r="E4">
        <v>119600</v>
      </c>
      <c r="G4" t="s">
        <v>10</v>
      </c>
      <c r="H4">
        <v>119600</v>
      </c>
    </row>
    <row r="5" spans="1:8" x14ac:dyDescent="0.25">
      <c r="C5" t="s">
        <v>252</v>
      </c>
      <c r="D5" t="s">
        <v>187</v>
      </c>
      <c r="E5">
        <v>119600</v>
      </c>
      <c r="G5" t="s">
        <v>10</v>
      </c>
    </row>
  </sheetData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H4"/>
  <sheetViews>
    <sheetView zoomScale="160" zoomScaleNormal="160" workbookViewId="0">
      <selection activeCell="F6" sqref="F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46239</v>
      </c>
      <c r="B2" t="s">
        <v>185</v>
      </c>
      <c r="C2" t="s">
        <v>186</v>
      </c>
      <c r="D2" t="s">
        <v>14</v>
      </c>
      <c r="E2">
        <f>SUMIF(todays_rent_data!B:B, "AZIM*", todays_rent_data!D:D)</f>
        <v>26000</v>
      </c>
      <c r="F2">
        <v>26000</v>
      </c>
      <c r="G2" t="str">
        <f>VLOOKUP("AZIM*", todays_rent_data!B:F, 5, FALSE)</f>
        <v>GRP 1</v>
      </c>
      <c r="H2">
        <f>E2-F2</f>
        <v>0</v>
      </c>
    </row>
    <row r="3" spans="1:8" x14ac:dyDescent="0.25">
      <c r="A3" s="3">
        <v>46269</v>
      </c>
      <c r="B3" t="s">
        <v>244</v>
      </c>
      <c r="C3" t="s">
        <v>229</v>
      </c>
      <c r="D3" t="s">
        <v>14</v>
      </c>
      <c r="E3">
        <v>26000</v>
      </c>
      <c r="F3">
        <v>26000</v>
      </c>
      <c r="G3" t="str">
        <f>VLOOKUP("AZIM*", todays_rent_data!B:F, 5, FALSE)</f>
        <v>GRP 1</v>
      </c>
      <c r="H3">
        <v>0</v>
      </c>
    </row>
    <row r="4" spans="1:8" x14ac:dyDescent="0.25">
      <c r="A4" s="3">
        <v>46297</v>
      </c>
      <c r="C4" t="s">
        <v>252</v>
      </c>
      <c r="D4" t="s">
        <v>14</v>
      </c>
      <c r="E4">
        <v>26000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/>
  <dimension ref="A1:H4"/>
  <sheetViews>
    <sheetView topLeftCell="B1" zoomScale="175" zoomScaleNormal="175" workbookViewId="0">
      <selection activeCell="F4" sqref="F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46238</v>
      </c>
      <c r="B2" t="s">
        <v>185</v>
      </c>
      <c r="C2" t="s">
        <v>186</v>
      </c>
      <c r="D2" t="s">
        <v>18</v>
      </c>
      <c r="E2">
        <f>SUMIF(todays_rent_data!B:B, "SONU*", todays_rent_data!D:D)</f>
        <v>20000</v>
      </c>
      <c r="F2">
        <v>20000</v>
      </c>
      <c r="G2" t="str">
        <f>VLOOKUP("SONU*", todays_rent_data!B:F, 5, FALSE)</f>
        <v>GRP 1</v>
      </c>
      <c r="H2">
        <f>E2-F2</f>
        <v>0</v>
      </c>
    </row>
    <row r="3" spans="1:8" x14ac:dyDescent="0.25">
      <c r="A3" s="3">
        <v>46268</v>
      </c>
      <c r="B3" t="s">
        <v>276</v>
      </c>
      <c r="C3" t="s">
        <v>229</v>
      </c>
      <c r="D3" t="s">
        <v>18</v>
      </c>
      <c r="E3">
        <v>20000</v>
      </c>
      <c r="F3">
        <v>20000</v>
      </c>
      <c r="G3" t="s">
        <v>10</v>
      </c>
      <c r="H3">
        <f>E3-F3</f>
        <v>0</v>
      </c>
    </row>
    <row r="4" spans="1:8" x14ac:dyDescent="0.25">
      <c r="A4" s="3">
        <v>46298</v>
      </c>
      <c r="C4" t="s">
        <v>252</v>
      </c>
      <c r="D4" t="s">
        <v>18</v>
      </c>
      <c r="E4">
        <v>20000</v>
      </c>
      <c r="G4" t="s">
        <v>10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/>
  <dimension ref="A1:H4"/>
  <sheetViews>
    <sheetView workbookViewId="0">
      <selection activeCell="F5" sqref="F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46240</v>
      </c>
      <c r="C2" t="s">
        <v>186</v>
      </c>
      <c r="D2" t="s">
        <v>22</v>
      </c>
      <c r="E2">
        <f>SUMIF(todays_rent_data!B:B, "DUBEY JI*", todays_rent_data!D:D)</f>
        <v>50000</v>
      </c>
      <c r="F2">
        <v>50000</v>
      </c>
      <c r="G2" t="str">
        <f>VLOOKUP("DUBEY JI*", todays_rent_data!B:F, 5, FALSE)</f>
        <v>GRP 1</v>
      </c>
      <c r="H2">
        <f>E2-F2</f>
        <v>0</v>
      </c>
    </row>
    <row r="3" spans="1:8" x14ac:dyDescent="0.25">
      <c r="A3" s="3">
        <v>46272</v>
      </c>
      <c r="C3" t="s">
        <v>229</v>
      </c>
      <c r="D3" t="s">
        <v>22</v>
      </c>
      <c r="E3">
        <f>SUMIF(todays_rent_data!B:B, "DUBEY JI*", todays_rent_data!D:D)</f>
        <v>50000</v>
      </c>
      <c r="F3">
        <v>50000</v>
      </c>
      <c r="G3" t="str">
        <f>VLOOKUP("DUBEY JI*", todays_rent_data!B:F, 5, FALSE)</f>
        <v>GRP 1</v>
      </c>
      <c r="H3">
        <v>0</v>
      </c>
    </row>
    <row r="4" spans="1:8" x14ac:dyDescent="0.25">
      <c r="C4" t="s">
        <v>229</v>
      </c>
      <c r="D4" t="s">
        <v>22</v>
      </c>
      <c r="E4">
        <v>50000</v>
      </c>
      <c r="G4" t="s">
        <v>10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/>
  <dimension ref="A1:H3"/>
  <sheetViews>
    <sheetView zoomScale="115" zoomScaleNormal="115" workbookViewId="0">
      <selection activeCell="F10" sqref="F10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46244</v>
      </c>
      <c r="B2" t="s">
        <v>322</v>
      </c>
      <c r="C2" t="s">
        <v>186</v>
      </c>
      <c r="D2" t="s">
        <v>25</v>
      </c>
      <c r="E2">
        <f>SUMIF(todays_rent_data!B:B, "KAMAL*", todays_rent_data!D:D)</f>
        <v>20000</v>
      </c>
      <c r="F2">
        <v>20000</v>
      </c>
      <c r="G2" t="str">
        <f>VLOOKUP("KAMAL*", todays_rent_data!B:F, 5, FALSE)</f>
        <v>GRP 1</v>
      </c>
      <c r="H2">
        <v>0</v>
      </c>
    </row>
    <row r="3" spans="1:8" x14ac:dyDescent="0.25">
      <c r="A3" s="3">
        <v>46275</v>
      </c>
      <c r="B3" t="s">
        <v>185</v>
      </c>
      <c r="C3" t="s">
        <v>229</v>
      </c>
      <c r="D3" t="s">
        <v>25</v>
      </c>
      <c r="E3">
        <f>SUMIF(todays_rent_data!B:B, "KAMAL*", todays_rent_data!D:D)</f>
        <v>20000</v>
      </c>
      <c r="F3">
        <v>20000</v>
      </c>
      <c r="G3" t="str">
        <f>VLOOKUP("KAMAL*", todays_rent_data!B:F, 5, FALSE)</f>
        <v>GRP 1</v>
      </c>
      <c r="H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7"/>
  <dimension ref="A1:H4"/>
  <sheetViews>
    <sheetView zoomScale="180" workbookViewId="0">
      <selection activeCell="E5" sqref="E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46254</v>
      </c>
      <c r="B2" t="s">
        <v>257</v>
      </c>
      <c r="C2" t="s">
        <v>186</v>
      </c>
      <c r="D2" t="s">
        <v>34</v>
      </c>
      <c r="E2">
        <f>SUMIF(todays_rent_data!B:B, "EJAZ*", todays_rent_data!D:D)</f>
        <v>75000</v>
      </c>
      <c r="F2">
        <v>75000</v>
      </c>
      <c r="G2" t="str">
        <f>VLOOKUP("EJAZ*", todays_rent_data!B:F, 5, FALSE)</f>
        <v>GRP 2</v>
      </c>
      <c r="H2">
        <f>E2-F2</f>
        <v>0</v>
      </c>
    </row>
    <row r="3" spans="1:8" x14ac:dyDescent="0.25">
      <c r="A3" s="3">
        <v>46284</v>
      </c>
      <c r="B3" t="s">
        <v>336</v>
      </c>
      <c r="C3" t="s">
        <v>229</v>
      </c>
      <c r="D3" t="s">
        <v>34</v>
      </c>
      <c r="E3">
        <v>75000</v>
      </c>
      <c r="F3">
        <v>75000</v>
      </c>
      <c r="G3" t="s">
        <v>31</v>
      </c>
      <c r="H3">
        <v>0</v>
      </c>
    </row>
    <row r="4" spans="1:8" x14ac:dyDescent="0.25">
      <c r="D4" t="s">
        <v>34</v>
      </c>
      <c r="E4">
        <v>75000</v>
      </c>
      <c r="G4" t="s">
        <v>31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9"/>
  <dimension ref="A1:H4"/>
  <sheetViews>
    <sheetView zoomScale="224" workbookViewId="0">
      <selection activeCell="G6" sqref="G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46246</v>
      </c>
      <c r="B2" t="s">
        <v>237</v>
      </c>
      <c r="C2" t="s">
        <v>186</v>
      </c>
      <c r="D2" t="s">
        <v>36</v>
      </c>
      <c r="E2">
        <f>SUMIF(todays_rent_data!B:B, "ANUJ*", todays_rent_data!D:D)</f>
        <v>27500</v>
      </c>
      <c r="F2">
        <v>27500</v>
      </c>
      <c r="G2" t="str">
        <f>VLOOKUP("ANUJ*", todays_rent_data!B:F, 5, FALSE)</f>
        <v>GRP 2</v>
      </c>
      <c r="H2">
        <f>E2-F2</f>
        <v>0</v>
      </c>
    </row>
    <row r="3" spans="1:8" x14ac:dyDescent="0.25">
      <c r="A3" s="3">
        <v>46277</v>
      </c>
      <c r="B3" t="s">
        <v>335</v>
      </c>
      <c r="C3" t="s">
        <v>229</v>
      </c>
      <c r="D3" t="s">
        <v>36</v>
      </c>
      <c r="E3">
        <v>27500</v>
      </c>
      <c r="F3">
        <v>27500</v>
      </c>
      <c r="G3" t="s">
        <v>31</v>
      </c>
      <c r="H3">
        <v>0</v>
      </c>
    </row>
    <row r="4" spans="1:8" x14ac:dyDescent="0.25">
      <c r="D4" t="s">
        <v>36</v>
      </c>
      <c r="E4">
        <v>27500</v>
      </c>
      <c r="G4" t="s">
        <v>31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0"/>
  <dimension ref="A1:H4"/>
  <sheetViews>
    <sheetView zoomScale="200" workbookViewId="0">
      <selection activeCell="A4" sqref="A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46245</v>
      </c>
      <c r="B2" t="s">
        <v>185</v>
      </c>
      <c r="C2" t="s">
        <v>186</v>
      </c>
      <c r="D2" t="s">
        <v>42</v>
      </c>
      <c r="E2">
        <f>SUMIF(todays_rent_data!B:B, "ATIQUE*", todays_rent_data!D:D)</f>
        <v>20000</v>
      </c>
      <c r="F2">
        <v>20000</v>
      </c>
      <c r="G2" t="str">
        <f>VLOOKUP("ATIQUE*", todays_rent_data!B:F, 5, FALSE)</f>
        <v>GRP 2</v>
      </c>
      <c r="H2">
        <f>E2-F2</f>
        <v>0</v>
      </c>
    </row>
    <row r="3" spans="1:8" x14ac:dyDescent="0.25">
      <c r="A3" s="3">
        <v>46275</v>
      </c>
      <c r="B3" t="s">
        <v>323</v>
      </c>
      <c r="C3" t="s">
        <v>229</v>
      </c>
      <c r="D3" t="s">
        <v>42</v>
      </c>
      <c r="E3">
        <v>20000</v>
      </c>
      <c r="F3">
        <v>20000</v>
      </c>
      <c r="G3" t="s">
        <v>31</v>
      </c>
      <c r="H3">
        <v>0</v>
      </c>
    </row>
    <row r="4" spans="1:8" x14ac:dyDescent="0.25">
      <c r="C4" t="s">
        <v>229</v>
      </c>
      <c r="D4" t="s">
        <v>42</v>
      </c>
      <c r="E4">
        <v>20000</v>
      </c>
      <c r="G4" t="s">
        <v>31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H4"/>
  <sheetViews>
    <sheetView zoomScale="115" zoomScaleNormal="115" workbookViewId="0">
      <selection activeCell="A4" sqref="A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46246</v>
      </c>
      <c r="B2" t="s">
        <v>236</v>
      </c>
      <c r="C2" t="s">
        <v>186</v>
      </c>
      <c r="D2" t="s">
        <v>47</v>
      </c>
      <c r="E2">
        <f>SUMIF(todays_rent_data!B:B, "MANISH*", todays_rent_data!D:D)</f>
        <v>38000</v>
      </c>
      <c r="F2">
        <v>38000</v>
      </c>
      <c r="G2" t="str">
        <f>VLOOKUP("MANISH*", todays_rent_data!B:F, 5, FALSE)</f>
        <v>GRP 2</v>
      </c>
      <c r="H2">
        <f>E2-F2</f>
        <v>0</v>
      </c>
    </row>
    <row r="3" spans="1:8" x14ac:dyDescent="0.25">
      <c r="A3" s="3">
        <v>46281</v>
      </c>
      <c r="B3" t="s">
        <v>333</v>
      </c>
      <c r="C3" t="s">
        <v>229</v>
      </c>
      <c r="D3" t="s">
        <v>47</v>
      </c>
      <c r="E3">
        <v>38000</v>
      </c>
      <c r="F3">
        <v>38000</v>
      </c>
      <c r="G3" t="s">
        <v>31</v>
      </c>
      <c r="H3">
        <v>0</v>
      </c>
    </row>
    <row r="4" spans="1:8" x14ac:dyDescent="0.25">
      <c r="D4" t="s">
        <v>47</v>
      </c>
      <c r="E4">
        <v>38000</v>
      </c>
      <c r="G4" t="s">
        <v>31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/>
  <dimension ref="A1:H4"/>
  <sheetViews>
    <sheetView topLeftCell="B1" zoomScale="245" workbookViewId="0">
      <selection activeCell="F7" sqref="F7"/>
    </sheetView>
  </sheetViews>
  <sheetFormatPr defaultColWidth="11.42578125" defaultRowHeight="15" x14ac:dyDescent="0.25"/>
  <cols>
    <col min="3" max="3" width="15.42578125" bestFit="1" customWidth="1"/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46247</v>
      </c>
      <c r="B2" t="s">
        <v>241</v>
      </c>
      <c r="C2" t="s">
        <v>186</v>
      </c>
      <c r="D2" t="s">
        <v>49</v>
      </c>
      <c r="E2">
        <f>SUMIF(todays_rent_data!B:B, "SUNNY*", todays_rent_data!D:D)</f>
        <v>16000</v>
      </c>
      <c r="F2">
        <v>16000</v>
      </c>
      <c r="G2" t="str">
        <f>VLOOKUP("SUNNY*", todays_rent_data!B:F, 5, FALSE)</f>
        <v>GRP 2</v>
      </c>
      <c r="H2">
        <f>E2-F2</f>
        <v>0</v>
      </c>
    </row>
    <row r="3" spans="1:8" x14ac:dyDescent="0.25">
      <c r="A3" s="3">
        <v>46277</v>
      </c>
      <c r="B3" t="s">
        <v>336</v>
      </c>
      <c r="C3" t="s">
        <v>229</v>
      </c>
      <c r="D3" t="s">
        <v>49</v>
      </c>
      <c r="E3">
        <v>16000</v>
      </c>
      <c r="F3">
        <v>16000</v>
      </c>
      <c r="G3" t="s">
        <v>31</v>
      </c>
      <c r="H3">
        <v>0</v>
      </c>
    </row>
    <row r="4" spans="1:8" x14ac:dyDescent="0.25">
      <c r="C4" t="s">
        <v>229</v>
      </c>
      <c r="D4" t="s">
        <v>49</v>
      </c>
      <c r="E4">
        <v>16000</v>
      </c>
      <c r="G4" t="s">
        <v>31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2"/>
  <dimension ref="A1:H4"/>
  <sheetViews>
    <sheetView workbookViewId="0">
      <selection activeCell="B3" sqref="B3"/>
    </sheetView>
  </sheetViews>
  <sheetFormatPr defaultColWidth="8.85546875" defaultRowHeight="15" x14ac:dyDescent="0.25"/>
  <cols>
    <col min="1" max="1" width="15.42578125" customWidth="1"/>
    <col min="2" max="2" width="12.42578125" customWidth="1"/>
    <col min="3" max="3" width="20.42578125" customWidth="1"/>
    <col min="4" max="5" width="15.42578125" customWidth="1"/>
    <col min="6" max="6" width="15" customWidth="1"/>
    <col min="7" max="7" width="15.4257812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46235</v>
      </c>
      <c r="C2" t="s">
        <v>186</v>
      </c>
      <c r="D2" t="s">
        <v>11</v>
      </c>
      <c r="E2">
        <f>SUMIF(todays_rent_data!B:B, "NOOR MD.*", todays_rent_data!D:D)</f>
        <v>11000</v>
      </c>
      <c r="F2">
        <v>11000</v>
      </c>
      <c r="G2" t="str">
        <f>VLOOKUP("NOOR MD.*", todays_rent_data!B:F, 5, FALSE)</f>
        <v>GRP 1</v>
      </c>
      <c r="H2">
        <f>E2-F2</f>
        <v>0</v>
      </c>
    </row>
    <row r="3" spans="1:8" x14ac:dyDescent="0.25">
      <c r="A3" s="3">
        <v>46269</v>
      </c>
      <c r="B3" t="s">
        <v>315</v>
      </c>
      <c r="C3" t="s">
        <v>229</v>
      </c>
      <c r="D3" t="s">
        <v>11</v>
      </c>
      <c r="E3">
        <f>SUMIF(todays_rent_data!B:B, "NOOR MD.*", todays_rent_data!D:D)</f>
        <v>11000</v>
      </c>
      <c r="F3">
        <v>11000</v>
      </c>
      <c r="G3" t="str">
        <f>VLOOKUP("NOOR MD.*", todays_rent_data!B:F, 5, FALSE)</f>
        <v>GRP 1</v>
      </c>
      <c r="H3">
        <v>0</v>
      </c>
    </row>
    <row r="4" spans="1:8" x14ac:dyDescent="0.25">
      <c r="A4" s="3">
        <v>46296</v>
      </c>
      <c r="D4" t="s">
        <v>11</v>
      </c>
      <c r="E4">
        <v>11000</v>
      </c>
      <c r="G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todays_rent_data</vt:lpstr>
      <vt:lpstr>TODAYS_EXPENDITURE</vt:lpstr>
      <vt:lpstr>DATABASE_EXPENDITURE</vt:lpstr>
      <vt:lpstr>PURCHASE SHEET</vt:lpstr>
      <vt:lpstr>DATABASE_PURCHASE</vt:lpstr>
      <vt:lpstr>MISCELLANEOUS</vt:lpstr>
      <vt:lpstr>RENT PERSONS MISCELLANEOUS</vt:lpstr>
      <vt:lpstr>RANJAN</vt:lpstr>
      <vt:lpstr>MUJIB</vt:lpstr>
      <vt:lpstr>NEHAL</vt:lpstr>
      <vt:lpstr>PERVAZ</vt:lpstr>
      <vt:lpstr>AZHAR</vt:lpstr>
      <vt:lpstr>HYDER</vt:lpstr>
      <vt:lpstr>MOIN</vt:lpstr>
      <vt:lpstr>RAFAT</vt:lpstr>
      <vt:lpstr>ANAS</vt:lpstr>
      <vt:lpstr>AZIM</vt:lpstr>
      <vt:lpstr>SONU</vt:lpstr>
      <vt:lpstr>DUBEY JI</vt:lpstr>
      <vt:lpstr>KAMAL</vt:lpstr>
      <vt:lpstr>EJAZ</vt:lpstr>
      <vt:lpstr>ANUJ</vt:lpstr>
      <vt:lpstr>ATIQUE</vt:lpstr>
      <vt:lpstr>MANISH</vt:lpstr>
      <vt:lpstr>SUNNY</vt:lpstr>
      <vt:lpstr>NOOR MD.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Raquib .</cp:lastModifiedBy>
  <dcterms:created xsi:type="dcterms:W3CDTF">2026-07-28T11:35:20Z</dcterms:created>
  <dcterms:modified xsi:type="dcterms:W3CDTF">2026-10-20T16:27:25Z</dcterms:modified>
</cp:coreProperties>
</file>